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queryTables/queryTable5.xml" ContentType="application/vnd.openxmlformats-officedocument.spreadsheetml.queryTable+xml"/>
  <Override PartName="/xl/drawings/drawing5.xml" ContentType="application/vnd.openxmlformats-officedocument.drawing+xml"/>
  <Override PartName="/xl/queryTables/queryTable6.xml" ContentType="application/vnd.openxmlformats-officedocument.spreadsheetml.queryTab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queryTables/queryTable8.xml" ContentType="application/vnd.openxmlformats-officedocument.spreadsheetml.queryTab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1195" windowHeight="9975" activeTab="1"/>
  </bookViews>
  <sheets>
    <sheet name="Norway" sheetId="1" r:id="rId1"/>
    <sheet name="Resumen" sheetId="3" r:id="rId2"/>
    <sheet name="LAGalaxy" sheetId="2" r:id="rId3"/>
    <sheet name="Toronto" sheetId="4" r:id="rId4"/>
    <sheet name="OrlandoCity" sheetId="5" r:id="rId5"/>
    <sheet name="NewEngland" sheetId="6" r:id="rId6"/>
    <sheet name="SportingKC" sheetId="7" r:id="rId7"/>
    <sheet name="FCDAllas" sheetId="8" r:id="rId8"/>
    <sheet name="RealSaltLake" sheetId="9" r:id="rId9"/>
    <sheet name="Seattle" sheetId="10" r:id="rId10"/>
    <sheet name="Portland" sheetId="11" r:id="rId11"/>
    <sheet name="Columbus" sheetId="12" r:id="rId12"/>
  </sheets>
  <definedNames>
    <definedName name="pmatch.asp?league_norway_matchid_144_t1_5_t2_14_ly_2015" localSheetId="0">Norway!$A$1:$I$22</definedName>
    <definedName name="pmatch.asp?league_usa_matchid_195_t1_1_t2_10_ly_2015" localSheetId="2">LAGalaxy!$A$1:$I$22</definedName>
    <definedName name="pmatch.asp?league_usa_matchid_196_t1_19_t2_6_ly_2015" localSheetId="9">Seattle!$A$1:$I$22</definedName>
    <definedName name="pmatch.asp?league_usa_matchid_197_t1_8_t2_5_ly_2015" localSheetId="3">Toronto!$A$1:$I$22</definedName>
    <definedName name="pmatch.asp?league_usa_matchid_198_t1_20_t2_16_ly_2015" localSheetId="5">NewEngland!$A$1:$I$22</definedName>
    <definedName name="pmatch.asp?league_usa_matchid_199_t1_17_t2_4_ly_2015" localSheetId="6">SportingKC!$A$1:$I$22</definedName>
    <definedName name="pmatch.asp?league_usa_matchid_200_t1_9_t2_3_ly_2015" localSheetId="7">FCDAllas!$A$1:$I$22</definedName>
    <definedName name="pmatch.asp?league_usa_matchid_201_t1_14_t2_11_ly_2015" localSheetId="8">RealSaltLake!$A$1:$I$22</definedName>
    <definedName name="pmatch.asp?league_usa_matchid_202_t1_13_t2_7_ly_2015" localSheetId="10">Portland!$A$1:$I$22</definedName>
    <definedName name="pmatch.asp?league_usa_matchid_203_t1_12_t2_2_ly_2015" localSheetId="11">Columbus!$A$1:$I$22</definedName>
    <definedName name="pmatch.asp?league_usa_matchid_204_t1_15_t2_18_ly_2015" localSheetId="4">OrlandoCity!$A$1:$I$22</definedName>
  </definedNames>
  <calcPr calcId="145621"/>
</workbook>
</file>

<file path=xl/calcChain.xml><?xml version="1.0" encoding="utf-8"?>
<calcChain xmlns="http://schemas.openxmlformats.org/spreadsheetml/2006/main">
  <c r="O17" i="12" l="1"/>
  <c r="P12" i="12"/>
  <c r="O12" i="12"/>
  <c r="O7" i="12"/>
  <c r="O8" i="12"/>
  <c r="O6" i="12"/>
  <c r="N7" i="12"/>
  <c r="N8" i="12"/>
  <c r="N6" i="12"/>
  <c r="J14" i="12"/>
  <c r="J13" i="12"/>
  <c r="J12" i="12"/>
  <c r="K7" i="12"/>
  <c r="K8" i="12"/>
  <c r="K6" i="12"/>
  <c r="J8" i="12"/>
  <c r="J7" i="12"/>
  <c r="J6" i="12"/>
  <c r="O17" i="11"/>
  <c r="P12" i="11"/>
  <c r="O12" i="11"/>
  <c r="O7" i="11"/>
  <c r="O8" i="11"/>
  <c r="O6" i="11"/>
  <c r="N7" i="11"/>
  <c r="N8" i="11"/>
  <c r="N6" i="11"/>
  <c r="J14" i="11"/>
  <c r="J13" i="11"/>
  <c r="J12" i="11"/>
  <c r="K7" i="11"/>
  <c r="K8" i="11"/>
  <c r="K6" i="11"/>
  <c r="J8" i="11"/>
  <c r="J7" i="11"/>
  <c r="J6" i="11"/>
  <c r="O17" i="10"/>
  <c r="P12" i="10"/>
  <c r="O12" i="10"/>
  <c r="O7" i="10"/>
  <c r="O8" i="10"/>
  <c r="O6" i="10"/>
  <c r="N7" i="10"/>
  <c r="N8" i="10"/>
  <c r="N6" i="10"/>
  <c r="J14" i="10"/>
  <c r="J13" i="10"/>
  <c r="J12" i="10"/>
  <c r="K7" i="10"/>
  <c r="K8" i="10"/>
  <c r="K6" i="10"/>
  <c r="J8" i="10"/>
  <c r="J7" i="10"/>
  <c r="J6" i="10"/>
  <c r="O17" i="9"/>
  <c r="P12" i="9"/>
  <c r="O12" i="9"/>
  <c r="O7" i="9"/>
  <c r="O8" i="9"/>
  <c r="O6" i="9"/>
  <c r="N7" i="9"/>
  <c r="N8" i="9"/>
  <c r="N6" i="9"/>
  <c r="J14" i="9"/>
  <c r="J13" i="9"/>
  <c r="J12" i="9"/>
  <c r="K7" i="9"/>
  <c r="K8" i="9"/>
  <c r="K6" i="9"/>
  <c r="J8" i="9"/>
  <c r="J7" i="9"/>
  <c r="J6" i="9"/>
  <c r="O17" i="8"/>
  <c r="P12" i="8"/>
  <c r="O12" i="8"/>
  <c r="O7" i="8"/>
  <c r="O8" i="8"/>
  <c r="O6" i="8"/>
  <c r="N7" i="8"/>
  <c r="N8" i="8"/>
  <c r="N6" i="8"/>
  <c r="J14" i="8"/>
  <c r="J13" i="8"/>
  <c r="J12" i="8"/>
  <c r="K7" i="8"/>
  <c r="K8" i="8"/>
  <c r="K6" i="8"/>
  <c r="J8" i="8"/>
  <c r="J7" i="8"/>
  <c r="J6" i="8"/>
  <c r="O17" i="7"/>
  <c r="P12" i="7"/>
  <c r="O12" i="7"/>
  <c r="O7" i="7"/>
  <c r="O8" i="7"/>
  <c r="O6" i="7"/>
  <c r="N7" i="7"/>
  <c r="N8" i="7"/>
  <c r="N6" i="7"/>
  <c r="M9" i="7"/>
  <c r="J14" i="7"/>
  <c r="J13" i="7"/>
  <c r="J12" i="7"/>
  <c r="K7" i="7"/>
  <c r="K8" i="7"/>
  <c r="K6" i="7"/>
  <c r="J8" i="7"/>
  <c r="J7" i="7"/>
  <c r="J6" i="7"/>
  <c r="O17" i="6"/>
  <c r="P12" i="6"/>
  <c r="O12" i="6"/>
  <c r="O7" i="6"/>
  <c r="O8" i="6"/>
  <c r="O6" i="6"/>
  <c r="N7" i="6"/>
  <c r="N8" i="6"/>
  <c r="N6" i="6"/>
  <c r="J14" i="6"/>
  <c r="J13" i="6"/>
  <c r="J12" i="6"/>
  <c r="K7" i="6"/>
  <c r="K8" i="6"/>
  <c r="K6" i="6"/>
  <c r="J8" i="6"/>
  <c r="J7" i="6"/>
  <c r="J6" i="6"/>
  <c r="O17" i="5"/>
  <c r="P12" i="5"/>
  <c r="O12" i="5"/>
  <c r="O7" i="5"/>
  <c r="O8" i="5"/>
  <c r="O6" i="5"/>
  <c r="N7" i="5"/>
  <c r="N8" i="5"/>
  <c r="N6" i="5"/>
  <c r="M9" i="5"/>
  <c r="J14" i="5"/>
  <c r="J13" i="5"/>
  <c r="J12" i="5"/>
  <c r="K7" i="5"/>
  <c r="K8" i="5"/>
  <c r="K6" i="5"/>
  <c r="J8" i="5"/>
  <c r="J7" i="5"/>
  <c r="J6" i="5"/>
  <c r="O17" i="4"/>
  <c r="P12" i="4"/>
  <c r="O12" i="4"/>
  <c r="O7" i="4"/>
  <c r="O8" i="4"/>
  <c r="O6" i="4"/>
  <c r="N7" i="4"/>
  <c r="N8" i="4"/>
  <c r="N6" i="4"/>
  <c r="J14" i="4"/>
  <c r="J13" i="4"/>
  <c r="J12" i="4"/>
  <c r="K7" i="4"/>
  <c r="K8" i="4"/>
  <c r="K6" i="4"/>
  <c r="J8" i="4"/>
  <c r="J7" i="4"/>
  <c r="J6" i="4"/>
  <c r="O17" i="2"/>
  <c r="P12" i="2"/>
  <c r="O12" i="2"/>
  <c r="O7" i="2"/>
  <c r="O8" i="2"/>
  <c r="O6" i="2"/>
  <c r="N7" i="2"/>
  <c r="N8" i="2"/>
  <c r="N6" i="2"/>
  <c r="J14" i="2"/>
  <c r="J13" i="2"/>
  <c r="J12" i="2"/>
  <c r="K7" i="2"/>
  <c r="K8" i="2"/>
  <c r="K6" i="2"/>
  <c r="J8" i="2"/>
  <c r="J7" i="2"/>
  <c r="J6" i="2"/>
  <c r="O17" i="1" l="1"/>
  <c r="P12" i="1"/>
  <c r="O12" i="1"/>
  <c r="O7" i="1" l="1"/>
  <c r="O8" i="1"/>
  <c r="O6" i="1"/>
  <c r="N7" i="1"/>
  <c r="N8" i="1"/>
  <c r="N6" i="1"/>
  <c r="J14" i="1"/>
  <c r="J13" i="1"/>
  <c r="J12" i="1"/>
  <c r="K7" i="1"/>
  <c r="K8" i="1"/>
  <c r="K6" i="1"/>
  <c r="J8" i="1"/>
  <c r="J7" i="1"/>
  <c r="J6" i="1"/>
</calcChain>
</file>

<file path=xl/connections.xml><?xml version="1.0" encoding="utf-8"?>
<connections xmlns="http://schemas.openxmlformats.org/spreadsheetml/2006/main">
  <connection id="1" name="Conexión" type="4" refreshedVersion="4" background="1" saveData="1">
    <webPr sourceData="1" parsePre="1" consecutive="1" xl2000="1" url="http://www.soccerstats.com/pmatch.asp?league=norway&amp;matchid=144&amp;t1=5&amp;t2=14&amp;ly=2015" htmlTables="1">
      <tables count="3">
        <x v="8"/>
        <x v="14"/>
        <x v="39"/>
      </tables>
    </webPr>
  </connection>
  <connection id="2" name="Conexión1" type="4" refreshedVersion="4" background="1" saveData="1">
    <webPr sourceData="1" parsePre="1" consecutive="1" xl2000="1" url="http://www.soccerstats.com/pmatch.asp?league=usa&amp;matchid=195&amp;t1=1&amp;t2=10&amp;ly=2015" htmlTables="1">
      <tables count="3">
        <x v="8"/>
        <x v="14"/>
        <x v="39"/>
      </tables>
    </webPr>
  </connection>
  <connection id="3" name="Conexión10" type="4" refreshedVersion="4" background="1" saveData="1">
    <webPr sourceData="1" parsePre="1" consecutive="1" xl2000="1" url="http://www.soccerstats.com/pmatch.asp?league=usa&amp;matchid=203&amp;t1=12&amp;t2=2&amp;ly=2015" htmlTables="1">
      <tables count="3">
        <x v="8"/>
        <x v="14"/>
        <x v="39"/>
      </tables>
    </webPr>
  </connection>
  <connection id="4" name="Conexión2" type="4" refreshedVersion="4" background="1" saveData="1">
    <webPr sourceData="1" parsePre="1" consecutive="1" xl2000="1" url="http://www.soccerstats.com/pmatch.asp?league=usa&amp;matchid=197&amp;t1=8&amp;t2=5&amp;ly=2015" htmlTables="1">
      <tables count="3">
        <x v="8"/>
        <x v="14"/>
        <x v="39"/>
      </tables>
    </webPr>
  </connection>
  <connection id="5" name="Conexión3" type="4" refreshedVersion="4" background="1" saveData="1">
    <webPr sourceData="1" parsePre="1" consecutive="1" xl2000="1" url="http://www.soccerstats.com/pmatch.asp?league=usa&amp;matchid=204&amp;t1=15&amp;t2=18&amp;ly=2015" htmlTables="1">
      <tables count="3">
        <x v="8"/>
        <x v="14"/>
        <x v="39"/>
      </tables>
    </webPr>
  </connection>
  <connection id="6" name="Conexión4" type="4" refreshedVersion="4" background="1" saveData="1">
    <webPr sourceData="1" parsePre="1" consecutive="1" xl2000="1" url="http://www.soccerstats.com/pmatch.asp?league=usa&amp;matchid=198&amp;t1=20&amp;t2=16&amp;ly=2015" htmlTables="1">
      <tables count="3">
        <x v="8"/>
        <x v="14"/>
        <x v="39"/>
      </tables>
    </webPr>
  </connection>
  <connection id="7" name="Conexión5" type="4" refreshedVersion="4" background="1" saveData="1">
    <webPr sourceData="1" parsePre="1" consecutive="1" xl2000="1" url="http://www.soccerstats.com/pmatch.asp?league=usa&amp;matchid=199&amp;t1=17&amp;t2=4&amp;ly=2015" htmlTables="1">
      <tables count="3">
        <x v="8"/>
        <x v="14"/>
        <x v="39"/>
      </tables>
    </webPr>
  </connection>
  <connection id="8" name="Conexión6" type="4" refreshedVersion="4" background="1" saveData="1">
    <webPr sourceData="1" parsePre="1" consecutive="1" xl2000="1" url="http://www.soccerstats.com/pmatch.asp?league=usa&amp;matchid=200&amp;t1=9&amp;t2=3&amp;ly=2015" htmlTables="1">
      <tables count="3">
        <x v="8"/>
        <x v="14"/>
        <x v="39"/>
      </tables>
    </webPr>
  </connection>
  <connection id="9" name="Conexión7" type="4" refreshedVersion="4" background="1" saveData="1">
    <webPr sourceData="1" parsePre="1" consecutive="1" xl2000="1" url="http://www.soccerstats.com/pmatch.asp?league=usa&amp;matchid=201&amp;t1=14&amp;t2=11&amp;ly=2015" htmlTables="1">
      <tables count="3">
        <x v="8"/>
        <x v="14"/>
        <x v="39"/>
      </tables>
    </webPr>
  </connection>
  <connection id="10" name="Conexión8" type="4" refreshedVersion="4" background="1" saveData="1">
    <webPr sourceData="1" parsePre="1" consecutive="1" xl2000="1" url="http://www.soccerstats.com/pmatch.asp?league=usa&amp;matchid=196&amp;t1=19&amp;t2=6&amp;ly=2015" htmlTables="1">
      <tables count="3">
        <x v="8"/>
        <x v="14"/>
        <x v="39"/>
      </tables>
    </webPr>
  </connection>
  <connection id="11" name="Conexión9" type="4" refreshedVersion="4" background="1" saveData="1">
    <webPr sourceData="1" parsePre="1" consecutive="1" xl2000="1" url="http://www.soccerstats.com/pmatch.asp?league=usa&amp;matchid=202&amp;t1=13&amp;t2=7&amp;ly=2015" htmlTables="1">
      <tables count="3">
        <x v="8"/>
        <x v="14"/>
        <x v="39"/>
      </tables>
    </webPr>
  </connection>
</connections>
</file>

<file path=xl/sharedStrings.xml><?xml version="1.0" encoding="utf-8"?>
<sst xmlns="http://schemas.openxmlformats.org/spreadsheetml/2006/main" count="641" uniqueCount="223">
  <si>
    <t>Molde</t>
  </si>
  <si>
    <t xml:space="preserve">( 6 th ) </t>
  </si>
  <si>
    <t>Bodo/Glimt</t>
  </si>
  <si>
    <t>( 12 th )</t>
  </si>
  <si>
    <t xml:space="preserve">Home </t>
  </si>
  <si>
    <t>Total</t>
  </si>
  <si>
    <t>OUTCOMES</t>
  </si>
  <si>
    <t xml:space="preserve">Away </t>
  </si>
  <si>
    <t>Wins</t>
  </si>
  <si>
    <t>Draws</t>
  </si>
  <si>
    <t>Defeats</t>
  </si>
  <si>
    <t>Home</t>
  </si>
  <si>
    <t>Overall</t>
  </si>
  <si>
    <t>SCORING</t>
  </si>
  <si>
    <t>Away</t>
  </si>
  <si>
    <t>Goals scored</t>
  </si>
  <si>
    <t>Goals conceded</t>
  </si>
  <si>
    <t>(1) 2.75</t>
  </si>
  <si>
    <t>2.19</t>
  </si>
  <si>
    <t>Avg. goals scored</t>
  </si>
  <si>
    <t>1.50</t>
  </si>
  <si>
    <t>1.25 (3)</t>
  </si>
  <si>
    <t>(2) 1.13</t>
  </si>
  <si>
    <t>1.13</t>
  </si>
  <si>
    <t>Avg. goals conc.</t>
  </si>
  <si>
    <t>2.13</t>
  </si>
  <si>
    <t>2.00 (4)</t>
  </si>
  <si>
    <t>(A) 3.88</t>
  </si>
  <si>
    <t>(B) 3.31</t>
  </si>
  <si>
    <t>Avg. scored+conc.</t>
  </si>
  <si>
    <t>3.63 (C)</t>
  </si>
  <si>
    <t>3.25 (D)</t>
  </si>
  <si>
    <t>(E) 75%</t>
  </si>
  <si>
    <t>(F) 69%</t>
  </si>
  <si>
    <t>Games over 2.5 goals</t>
  </si>
  <si>
    <t>75% (G)</t>
  </si>
  <si>
    <t>75% (H)</t>
  </si>
  <si>
    <t>Games over 3.5 goals</t>
  </si>
  <si>
    <t>Games over 4.5 goals</t>
  </si>
  <si>
    <t>Both teams scored</t>
  </si>
  <si>
    <t>Clean sheets</t>
  </si>
  <si>
    <t>Failed to score</t>
  </si>
  <si>
    <t>L</t>
  </si>
  <si>
    <t>V</t>
  </si>
  <si>
    <t>0.80%</t>
  </si>
  <si>
    <t>78.95%</t>
  </si>
  <si>
    <t>5.26%</t>
  </si>
  <si>
    <t>15.79%</t>
  </si>
  <si>
    <t>X</t>
  </si>
  <si>
    <t>Base</t>
  </si>
  <si>
    <t>Confianza</t>
  </si>
  <si>
    <t>ValDiv</t>
  </si>
  <si>
    <t>Selección</t>
  </si>
  <si>
    <t>ValMin</t>
  </si>
  <si>
    <t>L.A. Galaxy</t>
  </si>
  <si>
    <t xml:space="preserve">( 5 th ) </t>
  </si>
  <si>
    <t>San Jose</t>
  </si>
  <si>
    <t>( 10 th )</t>
  </si>
  <si>
    <t>(1) 2.09</t>
  </si>
  <si>
    <t>1.48</t>
  </si>
  <si>
    <t>1.06</t>
  </si>
  <si>
    <t>1.00 (3)</t>
  </si>
  <si>
    <t>(2) 0.45</t>
  </si>
  <si>
    <t>1.10</t>
  </si>
  <si>
    <t>1.30 (4)</t>
  </si>
  <si>
    <t>(A) 2.55</t>
  </si>
  <si>
    <t>(B) 2.57</t>
  </si>
  <si>
    <t>2.11 (C)</t>
  </si>
  <si>
    <t>2.30 (D)</t>
  </si>
  <si>
    <t>(E) 36%</t>
  </si>
  <si>
    <t>(F) 43%</t>
  </si>
  <si>
    <t>28% (G)</t>
  </si>
  <si>
    <t>30% (H)</t>
  </si>
  <si>
    <t>Ap</t>
  </si>
  <si>
    <t>Conf</t>
  </si>
  <si>
    <t>Toronto FC</t>
  </si>
  <si>
    <t xml:space="preserve">( 12 th ) </t>
  </si>
  <si>
    <t>Philadelphia</t>
  </si>
  <si>
    <t>( 16 th )</t>
  </si>
  <si>
    <t>(1) 1.33</t>
  </si>
  <si>
    <t>1.53</t>
  </si>
  <si>
    <t>1.25</t>
  </si>
  <si>
    <t>1.22 (3)</t>
  </si>
  <si>
    <t>(2) 1.00</t>
  </si>
  <si>
    <t>1.59</t>
  </si>
  <si>
    <t>1.60</t>
  </si>
  <si>
    <t>2.44 (4)</t>
  </si>
  <si>
    <t>(A) 2.33</t>
  </si>
  <si>
    <t>(B) 3.12</t>
  </si>
  <si>
    <t>2.85 (C)</t>
  </si>
  <si>
    <t>3.67 (D)</t>
  </si>
  <si>
    <t>(E) 50%</t>
  </si>
  <si>
    <t>(F) 59%</t>
  </si>
  <si>
    <t>60% (G)</t>
  </si>
  <si>
    <t>67% (H)</t>
  </si>
  <si>
    <t>Orlando City</t>
  </si>
  <si>
    <t xml:space="preserve">( 13 th ) </t>
  </si>
  <si>
    <t>New York RB</t>
  </si>
  <si>
    <t>( 9 th )</t>
  </si>
  <si>
    <t>(1) 1.20</t>
  </si>
  <si>
    <t>1.21</t>
  </si>
  <si>
    <t>1.44 (3)</t>
  </si>
  <si>
    <t>(2) 1.10</t>
  </si>
  <si>
    <t>1.26</t>
  </si>
  <si>
    <t>1.28</t>
  </si>
  <si>
    <t>1.67 (4)</t>
  </si>
  <si>
    <t>(A) 2.30</t>
  </si>
  <si>
    <t>(B) 2.47</t>
  </si>
  <si>
    <t>2.78 (C)</t>
  </si>
  <si>
    <t>3.11 (D)</t>
  </si>
  <si>
    <t>(E) 30%</t>
  </si>
  <si>
    <t>(F) 37%</t>
  </si>
  <si>
    <t>56% (G)</t>
  </si>
  <si>
    <t>78% (H)</t>
  </si>
  <si>
    <t>New England</t>
  </si>
  <si>
    <t xml:space="preserve">( 14 th ) </t>
  </si>
  <si>
    <t>New York City</t>
  </si>
  <si>
    <t>( 19 th )</t>
  </si>
  <si>
    <t>(1) 1.50</t>
  </si>
  <si>
    <t>1.24</t>
  </si>
  <si>
    <t>(2) 0.80</t>
  </si>
  <si>
    <t>1.57</t>
  </si>
  <si>
    <t>1.42</t>
  </si>
  <si>
    <t>1.11 (4)</t>
  </si>
  <si>
    <t>(B) 2.81</t>
  </si>
  <si>
    <t>2.68 (C)</t>
  </si>
  <si>
    <t>2.11 (D)</t>
  </si>
  <si>
    <t>(F) 62%</t>
  </si>
  <si>
    <t>47% (G)</t>
  </si>
  <si>
    <t>44% (H)</t>
  </si>
  <si>
    <t>Sporting KC</t>
  </si>
  <si>
    <t xml:space="preserve">( 7 th ) </t>
  </si>
  <si>
    <t>Montreal Impact</t>
  </si>
  <si>
    <t>( 17 th )</t>
  </si>
  <si>
    <t>(1) 1.78</t>
  </si>
  <si>
    <t>1.44</t>
  </si>
  <si>
    <t>0.75 (3)</t>
  </si>
  <si>
    <t>(2) 0.56</t>
  </si>
  <si>
    <t>1.00</t>
  </si>
  <si>
    <t>1.56</t>
  </si>
  <si>
    <t>(B) 2.53</t>
  </si>
  <si>
    <t>3.00 (C)</t>
  </si>
  <si>
    <t>2.75 (D)</t>
  </si>
  <si>
    <t>(E) 33%</t>
  </si>
  <si>
    <t>(F) 41%</t>
  </si>
  <si>
    <t>81% (G)</t>
  </si>
  <si>
    <t>FC Dallas</t>
  </si>
  <si>
    <t xml:space="preserve">( 3 rd ) </t>
  </si>
  <si>
    <t>DC United</t>
  </si>
  <si>
    <t>( 1 st )</t>
  </si>
  <si>
    <t>(1) 1.56</t>
  </si>
  <si>
    <t>1.37</t>
  </si>
  <si>
    <t>0.50 (3)</t>
  </si>
  <si>
    <t>(2) 0.89</t>
  </si>
  <si>
    <t>0.86</t>
  </si>
  <si>
    <t>0.80 (4)</t>
  </si>
  <si>
    <t>(A) 2.44</t>
  </si>
  <si>
    <t>(B) 2.58</t>
  </si>
  <si>
    <t>1.95 (C)</t>
  </si>
  <si>
    <t>1.30 (D)</t>
  </si>
  <si>
    <t>(E) 56%</t>
  </si>
  <si>
    <t>(F) 53%</t>
  </si>
  <si>
    <t>33% (G)</t>
  </si>
  <si>
    <t>10% (H)</t>
  </si>
  <si>
    <t>Real Salt Lake</t>
  </si>
  <si>
    <t xml:space="preserve">( 15 th ) </t>
  </si>
  <si>
    <t>Houston</t>
  </si>
  <si>
    <t>( 11 th )</t>
  </si>
  <si>
    <t>(1) 1.30</t>
  </si>
  <si>
    <t>0.95</t>
  </si>
  <si>
    <t>0.78 (3)</t>
  </si>
  <si>
    <t>1.30</t>
  </si>
  <si>
    <t>(B) 2.25</t>
  </si>
  <si>
    <t>2.53 (C)</t>
  </si>
  <si>
    <t>1.89 (D)</t>
  </si>
  <si>
    <t>(E) 40%</t>
  </si>
  <si>
    <t>(F) 45%</t>
  </si>
  <si>
    <t>32% (G)</t>
  </si>
  <si>
    <t>11% (H)</t>
  </si>
  <si>
    <t>Seattle</t>
  </si>
  <si>
    <t xml:space="preserve">( 2 nd ) </t>
  </si>
  <si>
    <t>Colorado</t>
  </si>
  <si>
    <t>( 18 th )</t>
  </si>
  <si>
    <t>(1) 1.40</t>
  </si>
  <si>
    <t>0.89</t>
  </si>
  <si>
    <t>0.67 (3)</t>
  </si>
  <si>
    <t>(2) 0.60</t>
  </si>
  <si>
    <t>0.78 (4)</t>
  </si>
  <si>
    <t>(A) 2.00</t>
  </si>
  <si>
    <t>(B) 2.20</t>
  </si>
  <si>
    <t>1.89 (C)</t>
  </si>
  <si>
    <t>1.44 (D)</t>
  </si>
  <si>
    <t>(F) 40%</t>
  </si>
  <si>
    <t>26% (G)</t>
  </si>
  <si>
    <t>Portland</t>
  </si>
  <si>
    <t>Vancouver</t>
  </si>
  <si>
    <t>( 4 th )</t>
  </si>
  <si>
    <t>1.15</t>
  </si>
  <si>
    <t>0.91 (3)</t>
  </si>
  <si>
    <t>0.73 (4)</t>
  </si>
  <si>
    <t>(A) 2.10</t>
  </si>
  <si>
    <t>2.15 (C)</t>
  </si>
  <si>
    <t>1.64 (D)</t>
  </si>
  <si>
    <t>50% (G)</t>
  </si>
  <si>
    <t>36% (H)</t>
  </si>
  <si>
    <t>Columbus</t>
  </si>
  <si>
    <t xml:space="preserve">( 8 th ) </t>
  </si>
  <si>
    <t>Chicago Fire</t>
  </si>
  <si>
    <t>( 20 th )</t>
  </si>
  <si>
    <t>(1) 2.10</t>
  </si>
  <si>
    <t>1.40</t>
  </si>
  <si>
    <t>0.88 (3)</t>
  </si>
  <si>
    <t>(2) 1.20</t>
  </si>
  <si>
    <t>1.45</t>
  </si>
  <si>
    <t>1.39</t>
  </si>
  <si>
    <t>1.88 (4)</t>
  </si>
  <si>
    <t>(A) 3.30</t>
  </si>
  <si>
    <t>(B) 2.85</t>
  </si>
  <si>
    <t>2.44 (C)</t>
  </si>
  <si>
    <t>(E) 80%</t>
  </si>
  <si>
    <t>(F) 65%</t>
  </si>
  <si>
    <t>44% (G)</t>
  </si>
  <si>
    <t>50% (H)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</si>
</sst>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9" fontId="0" fillId="0" borderId="0" xfId="0" applyNumberFormat="1"/>
    <xf numFmtId="0" fontId="1" fillId="0" borderId="1" xfId="0" applyFont="1" applyBorder="1" applyAlignment="1">
      <alignment horizontal="right" wrapText="1"/>
    </xf>
    <xf numFmtId="0" fontId="0" fillId="2" borderId="2" xfId="0" applyFill="1" applyBorder="1"/>
    <xf numFmtId="0" fontId="0" fillId="3" borderId="2" xfId="0" applyFill="1" applyBorder="1"/>
    <xf numFmtId="0" fontId="0" fillId="4" borderId="0" xfId="0" applyFill="1" applyBorder="1"/>
    <xf numFmtId="0" fontId="0" fillId="3" borderId="0" xfId="0" applyFill="1"/>
    <xf numFmtId="14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23</xdr:row>
      <xdr:rowOff>0</xdr:rowOff>
    </xdr:from>
    <xdr:to>
      <xdr:col>8</xdr:col>
      <xdr:colOff>104218</xdr:colOff>
      <xdr:row>24</xdr:row>
      <xdr:rowOff>152357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381500"/>
          <a:ext cx="4457143" cy="3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638175</xdr:colOff>
      <xdr:row>25</xdr:row>
      <xdr:rowOff>19050</xdr:rowOff>
    </xdr:from>
    <xdr:to>
      <xdr:col>7</xdr:col>
      <xdr:colOff>304248</xdr:colOff>
      <xdr:row>26</xdr:row>
      <xdr:rowOff>133312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8175" y="4781550"/>
          <a:ext cx="4419048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352425</xdr:colOff>
      <xdr:row>23</xdr:row>
      <xdr:rowOff>104775</xdr:rowOff>
    </xdr:from>
    <xdr:to>
      <xdr:col>8</xdr:col>
      <xdr:colOff>370929</xdr:colOff>
      <xdr:row>24</xdr:row>
      <xdr:rowOff>171418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5" y="4486275"/>
          <a:ext cx="4371429" cy="2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23</xdr:row>
      <xdr:rowOff>0</xdr:rowOff>
    </xdr:from>
    <xdr:to>
      <xdr:col>7</xdr:col>
      <xdr:colOff>170923</xdr:colOff>
      <xdr:row>23</xdr:row>
      <xdr:rowOff>190476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4381500"/>
          <a:ext cx="4219048" cy="1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23</xdr:row>
      <xdr:rowOff>0</xdr:rowOff>
    </xdr:from>
    <xdr:to>
      <xdr:col>7</xdr:col>
      <xdr:colOff>275685</xdr:colOff>
      <xdr:row>24</xdr:row>
      <xdr:rowOff>104738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4381500"/>
          <a:ext cx="4323810" cy="2952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23</xdr:row>
      <xdr:rowOff>0</xdr:rowOff>
    </xdr:from>
    <xdr:to>
      <xdr:col>8</xdr:col>
      <xdr:colOff>66123</xdr:colOff>
      <xdr:row>24</xdr:row>
      <xdr:rowOff>114262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" y="4381500"/>
          <a:ext cx="4419048" cy="3047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24</xdr:row>
      <xdr:rowOff>0</xdr:rowOff>
    </xdr:from>
    <xdr:to>
      <xdr:col>7</xdr:col>
      <xdr:colOff>266161</xdr:colOff>
      <xdr:row>24</xdr:row>
      <xdr:rowOff>190476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4572000"/>
          <a:ext cx="4314286" cy="1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5</xdr:col>
      <xdr:colOff>151865</xdr:colOff>
      <xdr:row>23</xdr:row>
      <xdr:rowOff>190476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81500"/>
          <a:ext cx="4285715" cy="1904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6</xdr:col>
      <xdr:colOff>409006</xdr:colOff>
      <xdr:row>25</xdr:row>
      <xdr:rowOff>9500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572000"/>
          <a:ext cx="4552381" cy="200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23</xdr:row>
      <xdr:rowOff>0</xdr:rowOff>
    </xdr:from>
    <xdr:to>
      <xdr:col>8</xdr:col>
      <xdr:colOff>37551</xdr:colOff>
      <xdr:row>24</xdr:row>
      <xdr:rowOff>28548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4381500"/>
          <a:ext cx="4390476" cy="2190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23</xdr:row>
      <xdr:rowOff>0</xdr:rowOff>
    </xdr:from>
    <xdr:to>
      <xdr:col>8</xdr:col>
      <xdr:colOff>66123</xdr:colOff>
      <xdr:row>24</xdr:row>
      <xdr:rowOff>114262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4381500"/>
          <a:ext cx="4419048" cy="304762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pmatch.asp?league=norway&amp;matchid=144&amp;t1=5&amp;t2=14&amp;ly=2015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match.asp?league=usa&amp;matchid=195&amp;t1=1&amp;t2=10&amp;ly=2015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match.asp?league=usa&amp;matchid=197&amp;t1=8&amp;t2=5&amp;ly=2015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match.asp?league=usa&amp;matchid=204&amp;t1=15&amp;t2=18&amp;ly=2015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match.asp?league=usa&amp;matchid=198&amp;t1=20&amp;t2=16&amp;ly=2015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match.asp?league=usa&amp;matchid=199&amp;t1=17&amp;t2=4&amp;ly=2015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match.asp?league=usa&amp;matchid=200&amp;t1=9&amp;t2=3&amp;ly=2015" connectionId="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match.asp?league=usa&amp;matchid=201&amp;t1=14&amp;t2=11&amp;ly=2015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match.asp?league=usa&amp;matchid=196&amp;t1=19&amp;t2=6&amp;ly=2015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match.asp?league=usa&amp;matchid=202&amp;t1=13&amp;t2=7&amp;ly=2015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match.asp?league=usa&amp;matchid=203&amp;t1=12&amp;t2=2&amp;ly=2015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27"/>
  <sheetViews>
    <sheetView topLeftCell="A5" workbookViewId="0">
      <selection activeCell="O16" sqref="O16"/>
    </sheetView>
  </sheetViews>
  <sheetFormatPr baseColWidth="10" defaultRowHeight="15" x14ac:dyDescent="0.25"/>
  <cols>
    <col min="1" max="1" width="7.7109375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0</v>
      </c>
      <c r="B1" s="1">
        <v>42203</v>
      </c>
      <c r="C1" t="s">
        <v>2</v>
      </c>
    </row>
    <row r="2" spans="1:16" x14ac:dyDescent="0.25">
      <c r="A2" t="s">
        <v>1</v>
      </c>
      <c r="C2" t="s">
        <v>3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0.5</v>
      </c>
      <c r="C6">
        <v>4</v>
      </c>
      <c r="D6">
        <v>7</v>
      </c>
      <c r="E6" t="s">
        <v>8</v>
      </c>
      <c r="F6">
        <v>5</v>
      </c>
      <c r="G6">
        <v>2</v>
      </c>
      <c r="H6" s="2">
        <v>0.25</v>
      </c>
      <c r="J6" s="2">
        <f>A6+H8</f>
        <v>1</v>
      </c>
      <c r="K6">
        <f>J6/2</f>
        <v>0.5</v>
      </c>
      <c r="M6">
        <v>0.78949999999999998</v>
      </c>
      <c r="N6">
        <f>M6+K6</f>
        <v>1.2894999999999999</v>
      </c>
      <c r="O6" s="4">
        <f>N6/2</f>
        <v>0.64474999999999993</v>
      </c>
      <c r="P6" s="4" t="s">
        <v>42</v>
      </c>
    </row>
    <row r="7" spans="1:16" x14ac:dyDescent="0.25">
      <c r="A7" s="2">
        <v>0.25</v>
      </c>
      <c r="C7">
        <v>2</v>
      </c>
      <c r="D7">
        <v>4</v>
      </c>
      <c r="E7" t="s">
        <v>9</v>
      </c>
      <c r="F7">
        <v>2</v>
      </c>
      <c r="G7">
        <v>2</v>
      </c>
      <c r="H7" s="2">
        <v>0.25</v>
      </c>
      <c r="J7" s="2">
        <f>A7+H7</f>
        <v>0.5</v>
      </c>
      <c r="K7">
        <f t="shared" ref="K7:K8" si="0">J7/2</f>
        <v>0.25</v>
      </c>
      <c r="M7">
        <v>5.2600000000000001E-2</v>
      </c>
      <c r="N7">
        <f t="shared" ref="N7:N8" si="1">M7+K7</f>
        <v>0.30259999999999998</v>
      </c>
      <c r="O7" s="4">
        <f t="shared" ref="O7:O8" si="2">N7/2</f>
        <v>0.15129999999999999</v>
      </c>
      <c r="P7" s="4" t="s">
        <v>48</v>
      </c>
    </row>
    <row r="8" spans="1:16" x14ac:dyDescent="0.25">
      <c r="A8" s="2">
        <v>0.25</v>
      </c>
      <c r="C8">
        <v>2</v>
      </c>
      <c r="D8">
        <v>5</v>
      </c>
      <c r="E8" t="s">
        <v>10</v>
      </c>
      <c r="F8">
        <v>9</v>
      </c>
      <c r="G8">
        <v>4</v>
      </c>
      <c r="H8" s="2">
        <v>0.5</v>
      </c>
      <c r="J8" s="2">
        <f>A8+H6</f>
        <v>0.5</v>
      </c>
      <c r="K8">
        <f t="shared" si="0"/>
        <v>0.25</v>
      </c>
      <c r="M8">
        <v>0.15790000000000001</v>
      </c>
      <c r="N8">
        <f t="shared" si="1"/>
        <v>0.40790000000000004</v>
      </c>
      <c r="O8" s="4">
        <f t="shared" si="2"/>
        <v>0.20395000000000002</v>
      </c>
      <c r="P8" s="4" t="s">
        <v>43</v>
      </c>
    </row>
    <row r="9" spans="1:16" x14ac:dyDescent="0.25">
      <c r="A9">
        <v>8</v>
      </c>
      <c r="D9">
        <v>16</v>
      </c>
      <c r="E9" t="s">
        <v>5</v>
      </c>
      <c r="F9">
        <v>16</v>
      </c>
      <c r="G9">
        <v>8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  <c r="M11" s="6"/>
      <c r="N11" s="6"/>
      <c r="O11" s="6" t="s">
        <v>52</v>
      </c>
      <c r="P11" s="6"/>
    </row>
    <row r="12" spans="1:16" x14ac:dyDescent="0.25">
      <c r="A12">
        <v>22</v>
      </c>
      <c r="B12">
        <v>35</v>
      </c>
      <c r="C12" t="s">
        <v>15</v>
      </c>
      <c r="D12">
        <v>24</v>
      </c>
      <c r="E12">
        <v>10</v>
      </c>
      <c r="I12" t="s">
        <v>42</v>
      </c>
      <c r="J12">
        <f>A12-A13</f>
        <v>13</v>
      </c>
      <c r="M12" s="6"/>
      <c r="N12" s="5"/>
      <c r="O12" s="5">
        <f>MAX(O6:O8)</f>
        <v>0.64474999999999993</v>
      </c>
      <c r="P12" s="5" t="str">
        <f>VLOOKUP(O12,O6:P8,2,FALSE)</f>
        <v>L</v>
      </c>
    </row>
    <row r="13" spans="1:16" x14ac:dyDescent="0.25">
      <c r="A13">
        <v>9</v>
      </c>
      <c r="B13">
        <v>18</v>
      </c>
      <c r="C13" t="s">
        <v>16</v>
      </c>
      <c r="D13">
        <v>34</v>
      </c>
      <c r="E13">
        <v>16</v>
      </c>
      <c r="I13" t="s">
        <v>43</v>
      </c>
      <c r="J13">
        <f>E12-E13</f>
        <v>-6</v>
      </c>
      <c r="M13" s="6"/>
      <c r="N13" s="6"/>
      <c r="O13" s="6"/>
      <c r="P13" s="6"/>
    </row>
    <row r="14" spans="1:16" x14ac:dyDescent="0.25">
      <c r="A14" t="s">
        <v>17</v>
      </c>
      <c r="B14" t="s">
        <v>18</v>
      </c>
      <c r="C14" t="s">
        <v>19</v>
      </c>
      <c r="D14" t="s">
        <v>20</v>
      </c>
      <c r="E14" t="s">
        <v>21</v>
      </c>
      <c r="J14">
        <f>J12-J13</f>
        <v>19</v>
      </c>
      <c r="M14" s="6"/>
      <c r="N14" s="6" t="s">
        <v>53</v>
      </c>
      <c r="O14" s="6">
        <v>35</v>
      </c>
      <c r="P14" s="6"/>
    </row>
    <row r="15" spans="1:16" x14ac:dyDescent="0.25">
      <c r="A15" t="s">
        <v>22</v>
      </c>
      <c r="B15" t="s">
        <v>23</v>
      </c>
      <c r="C15" t="s">
        <v>24</v>
      </c>
      <c r="D15" t="s">
        <v>25</v>
      </c>
      <c r="E15" t="s">
        <v>26</v>
      </c>
      <c r="M15" s="6"/>
      <c r="N15" s="6" t="s">
        <v>49</v>
      </c>
      <c r="O15" s="6">
        <v>1</v>
      </c>
      <c r="P15" s="6"/>
    </row>
    <row r="16" spans="1:16" x14ac:dyDescent="0.25">
      <c r="A16" t="s">
        <v>27</v>
      </c>
      <c r="B16" t="s">
        <v>28</v>
      </c>
      <c r="C16" t="s">
        <v>29</v>
      </c>
      <c r="D16" t="s">
        <v>30</v>
      </c>
      <c r="E16" t="s">
        <v>31</v>
      </c>
      <c r="M16" s="6"/>
      <c r="N16" s="6" t="s">
        <v>51</v>
      </c>
      <c r="O16" s="6">
        <v>10</v>
      </c>
      <c r="P16" s="6"/>
    </row>
    <row r="17" spans="1:16" x14ac:dyDescent="0.25">
      <c r="A17" t="s">
        <v>32</v>
      </c>
      <c r="B17" t="s">
        <v>33</v>
      </c>
      <c r="C17" t="s">
        <v>34</v>
      </c>
      <c r="D17" t="s">
        <v>35</v>
      </c>
      <c r="E17" t="s">
        <v>36</v>
      </c>
      <c r="M17" s="6"/>
      <c r="N17" s="5" t="s">
        <v>50</v>
      </c>
      <c r="O17" s="5">
        <f>(((O12*100)-O14)/O16)+O15</f>
        <v>3.9474999999999993</v>
      </c>
      <c r="P17" s="6"/>
    </row>
    <row r="18" spans="1:16" x14ac:dyDescent="0.25">
      <c r="A18" s="2">
        <v>0.62</v>
      </c>
      <c r="B18" s="2">
        <v>0.44</v>
      </c>
      <c r="C18" t="s">
        <v>37</v>
      </c>
      <c r="D18" s="2">
        <v>0.44</v>
      </c>
      <c r="E18" s="2">
        <v>0.38</v>
      </c>
      <c r="M18" s="6"/>
      <c r="N18" s="6"/>
      <c r="O18" s="6"/>
      <c r="P18" s="6"/>
    </row>
    <row r="19" spans="1:16" x14ac:dyDescent="0.25">
      <c r="A19" s="2">
        <v>0.38</v>
      </c>
      <c r="B19" s="2">
        <v>0.25</v>
      </c>
      <c r="C19" t="s">
        <v>38</v>
      </c>
      <c r="D19" s="2">
        <v>0.25</v>
      </c>
      <c r="E19" s="2">
        <v>0.12</v>
      </c>
    </row>
    <row r="20" spans="1:16" x14ac:dyDescent="0.25">
      <c r="A20" s="2">
        <v>0.62</v>
      </c>
      <c r="B20" s="2">
        <v>0.62</v>
      </c>
      <c r="C20" t="s">
        <v>39</v>
      </c>
      <c r="D20" s="2">
        <v>0.69</v>
      </c>
      <c r="E20" s="2">
        <v>0.75</v>
      </c>
    </row>
    <row r="21" spans="1:16" x14ac:dyDescent="0.25">
      <c r="A21" s="2">
        <v>0.25</v>
      </c>
      <c r="B21" s="2">
        <v>0.25</v>
      </c>
      <c r="C21" t="s">
        <v>40</v>
      </c>
      <c r="D21" s="2">
        <v>0.12</v>
      </c>
      <c r="E21" s="2">
        <v>0</v>
      </c>
    </row>
    <row r="22" spans="1:16" x14ac:dyDescent="0.25">
      <c r="A22" s="2">
        <v>0.25</v>
      </c>
      <c r="B22" s="2">
        <v>0.25</v>
      </c>
      <c r="C22" t="s">
        <v>41</v>
      </c>
      <c r="D22" s="2">
        <v>0.19</v>
      </c>
      <c r="E22" s="2">
        <v>0.25</v>
      </c>
    </row>
    <row r="26" spans="1:16" ht="15.75" thickBot="1" x14ac:dyDescent="0.3"/>
    <row r="27" spans="1:16" ht="27" thickBot="1" x14ac:dyDescent="0.3">
      <c r="A27" s="3">
        <v>19</v>
      </c>
      <c r="B27" s="3">
        <v>15</v>
      </c>
      <c r="C27" s="3">
        <v>1</v>
      </c>
      <c r="D27" s="3">
        <v>3</v>
      </c>
      <c r="E27" s="3" t="s">
        <v>44</v>
      </c>
      <c r="F27" s="3" t="s">
        <v>45</v>
      </c>
      <c r="G27" s="3" t="s">
        <v>46</v>
      </c>
      <c r="H27" s="3" t="s">
        <v>47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11"/>
  <sheetViews>
    <sheetView tabSelected="1" workbookViewId="0">
      <selection activeCell="G13" sqref="G13"/>
    </sheetView>
  </sheetViews>
  <sheetFormatPr baseColWidth="10" defaultRowHeight="15" x14ac:dyDescent="0.25"/>
  <cols>
    <col min="3" max="3" width="16.140625" customWidth="1"/>
    <col min="4" max="4" width="4.140625" customWidth="1"/>
    <col min="5" max="5" width="7.7109375" customWidth="1"/>
  </cols>
  <sheetData>
    <row r="1" spans="1:5" x14ac:dyDescent="0.25">
      <c r="D1" t="s">
        <v>73</v>
      </c>
      <c r="E1" t="s">
        <v>74</v>
      </c>
    </row>
    <row r="2" spans="1:5" x14ac:dyDescent="0.25">
      <c r="A2" s="7" t="s">
        <v>54</v>
      </c>
      <c r="B2" s="8">
        <v>42203</v>
      </c>
      <c r="C2" s="7" t="s">
        <v>56</v>
      </c>
      <c r="D2" s="7" t="s">
        <v>42</v>
      </c>
      <c r="E2" s="7">
        <v>4</v>
      </c>
    </row>
    <row r="3" spans="1:5" x14ac:dyDescent="0.25">
      <c r="A3" t="s">
        <v>75</v>
      </c>
      <c r="B3" s="1">
        <v>42203</v>
      </c>
      <c r="C3" t="s">
        <v>77</v>
      </c>
      <c r="D3" t="s">
        <v>42</v>
      </c>
      <c r="E3">
        <v>3</v>
      </c>
    </row>
    <row r="4" spans="1:5" x14ac:dyDescent="0.25">
      <c r="A4" s="7" t="s">
        <v>95</v>
      </c>
      <c r="B4" s="8">
        <v>42203</v>
      </c>
      <c r="C4" s="7" t="s">
        <v>97</v>
      </c>
      <c r="D4" s="7" t="s">
        <v>42</v>
      </c>
      <c r="E4" s="7">
        <v>2</v>
      </c>
    </row>
    <row r="5" spans="1:5" x14ac:dyDescent="0.25">
      <c r="A5" t="s">
        <v>114</v>
      </c>
      <c r="B5" s="1">
        <v>42203</v>
      </c>
      <c r="C5" t="s">
        <v>116</v>
      </c>
      <c r="D5" t="s">
        <v>42</v>
      </c>
      <c r="E5">
        <v>2</v>
      </c>
    </row>
    <row r="6" spans="1:5" x14ac:dyDescent="0.25">
      <c r="A6" s="7" t="s">
        <v>130</v>
      </c>
      <c r="B6" s="8">
        <v>42204</v>
      </c>
      <c r="C6" s="7" t="s">
        <v>132</v>
      </c>
      <c r="D6" s="7" t="s">
        <v>42</v>
      </c>
      <c r="E6" s="7">
        <v>4</v>
      </c>
    </row>
    <row r="7" spans="1:5" x14ac:dyDescent="0.25">
      <c r="A7" t="s">
        <v>146</v>
      </c>
      <c r="B7" s="1">
        <v>42204</v>
      </c>
      <c r="C7" t="s">
        <v>148</v>
      </c>
      <c r="D7" t="s">
        <v>42</v>
      </c>
      <c r="E7">
        <v>3</v>
      </c>
    </row>
    <row r="8" spans="1:5" x14ac:dyDescent="0.25">
      <c r="A8" s="7" t="s">
        <v>164</v>
      </c>
      <c r="B8" s="8">
        <v>42204</v>
      </c>
      <c r="C8" s="7" t="s">
        <v>166</v>
      </c>
      <c r="D8" s="7" t="s">
        <v>42</v>
      </c>
      <c r="E8" s="7">
        <v>2</v>
      </c>
    </row>
    <row r="9" spans="1:5" x14ac:dyDescent="0.25">
      <c r="A9" t="s">
        <v>179</v>
      </c>
      <c r="B9" s="1">
        <v>42204</v>
      </c>
      <c r="C9" t="s">
        <v>181</v>
      </c>
      <c r="D9" t="s">
        <v>42</v>
      </c>
      <c r="E9">
        <v>3</v>
      </c>
    </row>
    <row r="10" spans="1:5" x14ac:dyDescent="0.25">
      <c r="A10" s="7" t="s">
        <v>194</v>
      </c>
      <c r="B10" s="8">
        <v>42204</v>
      </c>
      <c r="C10" s="7" t="s">
        <v>195</v>
      </c>
      <c r="D10" s="7" t="s">
        <v>42</v>
      </c>
      <c r="E10" s="7">
        <v>3</v>
      </c>
    </row>
    <row r="11" spans="1:5" x14ac:dyDescent="0.25">
      <c r="A11" t="s">
        <v>205</v>
      </c>
      <c r="B11" s="1">
        <v>42204</v>
      </c>
      <c r="C11" t="s">
        <v>207</v>
      </c>
      <c r="D11" t="s">
        <v>42</v>
      </c>
      <c r="E1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2"/>
  <sheetViews>
    <sheetView workbookViewId="0">
      <selection activeCell="O16" sqref="O16"/>
    </sheetView>
  </sheetViews>
  <sheetFormatPr baseColWidth="10" defaultRowHeight="15" x14ac:dyDescent="0.25"/>
  <cols>
    <col min="1" max="1" width="10.5703125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54</v>
      </c>
      <c r="B1" s="1">
        <v>42203</v>
      </c>
      <c r="C1" t="s">
        <v>56</v>
      </c>
    </row>
    <row r="2" spans="1:16" x14ac:dyDescent="0.25">
      <c r="A2" t="s">
        <v>55</v>
      </c>
      <c r="C2" t="s">
        <v>57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0.73</v>
      </c>
      <c r="C6">
        <v>8</v>
      </c>
      <c r="D6">
        <v>8</v>
      </c>
      <c r="E6" t="s">
        <v>8</v>
      </c>
      <c r="F6">
        <v>7</v>
      </c>
      <c r="G6">
        <v>3</v>
      </c>
      <c r="H6" s="2">
        <v>0.3</v>
      </c>
      <c r="J6" s="2">
        <f>A6+H8</f>
        <v>1.23</v>
      </c>
      <c r="K6">
        <f>J6/2</f>
        <v>0.61499999999999999</v>
      </c>
      <c r="M6">
        <v>0.66700000000000004</v>
      </c>
      <c r="N6">
        <f>M6+K6</f>
        <v>1.282</v>
      </c>
      <c r="O6" s="4">
        <f>N6/2</f>
        <v>0.64100000000000001</v>
      </c>
      <c r="P6" s="4" t="s">
        <v>42</v>
      </c>
    </row>
    <row r="7" spans="1:16" x14ac:dyDescent="0.25">
      <c r="A7" s="2">
        <v>0.18</v>
      </c>
      <c r="C7">
        <v>2</v>
      </c>
      <c r="D7">
        <v>7</v>
      </c>
      <c r="E7" t="s">
        <v>9</v>
      </c>
      <c r="F7">
        <v>4</v>
      </c>
      <c r="G7">
        <v>2</v>
      </c>
      <c r="H7" s="2">
        <v>0.2</v>
      </c>
      <c r="J7" s="2">
        <f>A7+H7</f>
        <v>0.38</v>
      </c>
      <c r="K7">
        <f t="shared" ref="K7:K8" si="0">J7/2</f>
        <v>0.19</v>
      </c>
      <c r="M7">
        <v>0.26700000000000002</v>
      </c>
      <c r="N7">
        <f t="shared" ref="N7:N8" si="1">M7+K7</f>
        <v>0.45700000000000002</v>
      </c>
      <c r="O7" s="4">
        <f t="shared" ref="O7:O8" si="2">N7/2</f>
        <v>0.22850000000000001</v>
      </c>
      <c r="P7" s="4" t="s">
        <v>48</v>
      </c>
    </row>
    <row r="8" spans="1:16" x14ac:dyDescent="0.25">
      <c r="A8" s="2">
        <v>0.09</v>
      </c>
      <c r="C8">
        <v>1</v>
      </c>
      <c r="D8">
        <v>6</v>
      </c>
      <c r="E8" t="s">
        <v>10</v>
      </c>
      <c r="F8">
        <v>7</v>
      </c>
      <c r="G8">
        <v>5</v>
      </c>
      <c r="H8" s="2">
        <v>0.5</v>
      </c>
      <c r="J8" s="2">
        <f>A8+H6</f>
        <v>0.39</v>
      </c>
      <c r="K8">
        <f t="shared" si="0"/>
        <v>0.19500000000000001</v>
      </c>
      <c r="M8">
        <v>6.7000000000000004E-2</v>
      </c>
      <c r="N8">
        <f t="shared" si="1"/>
        <v>0.26200000000000001</v>
      </c>
      <c r="O8" s="4">
        <f t="shared" si="2"/>
        <v>0.13100000000000001</v>
      </c>
      <c r="P8" s="4" t="s">
        <v>43</v>
      </c>
    </row>
    <row r="9" spans="1:16" x14ac:dyDescent="0.25">
      <c r="A9">
        <v>11</v>
      </c>
      <c r="D9">
        <v>21</v>
      </c>
      <c r="E9" t="s">
        <v>5</v>
      </c>
      <c r="F9">
        <v>18</v>
      </c>
      <c r="G9">
        <v>10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23</v>
      </c>
      <c r="B12">
        <v>31</v>
      </c>
      <c r="C12" t="s">
        <v>15</v>
      </c>
      <c r="D12">
        <v>19</v>
      </c>
      <c r="E12">
        <v>10</v>
      </c>
      <c r="I12" t="s">
        <v>42</v>
      </c>
      <c r="J12">
        <f>A12-A13</f>
        <v>18</v>
      </c>
      <c r="N12" s="5"/>
      <c r="O12" s="5">
        <f>MAX(O6:O8)</f>
        <v>0.64100000000000001</v>
      </c>
      <c r="P12" s="5" t="str">
        <f>VLOOKUP(O12,O6:P8,2,FALSE)</f>
        <v>L</v>
      </c>
    </row>
    <row r="13" spans="1:16" x14ac:dyDescent="0.25">
      <c r="A13">
        <v>5</v>
      </c>
      <c r="B13">
        <v>23</v>
      </c>
      <c r="C13" t="s">
        <v>16</v>
      </c>
      <c r="D13">
        <v>19</v>
      </c>
      <c r="E13">
        <v>13</v>
      </c>
      <c r="I13" t="s">
        <v>43</v>
      </c>
      <c r="J13">
        <f>E12-E13</f>
        <v>-3</v>
      </c>
    </row>
    <row r="14" spans="1:16" x14ac:dyDescent="0.25">
      <c r="A14" t="s">
        <v>58</v>
      </c>
      <c r="B14" t="s">
        <v>59</v>
      </c>
      <c r="C14" t="s">
        <v>19</v>
      </c>
      <c r="D14" t="s">
        <v>60</v>
      </c>
      <c r="E14" t="s">
        <v>61</v>
      </c>
      <c r="J14">
        <f>J12-J13</f>
        <v>21</v>
      </c>
      <c r="N14" t="s">
        <v>53</v>
      </c>
      <c r="O14">
        <v>35</v>
      </c>
    </row>
    <row r="15" spans="1:16" x14ac:dyDescent="0.25">
      <c r="A15" t="s">
        <v>62</v>
      </c>
      <c r="B15" t="s">
        <v>63</v>
      </c>
      <c r="C15" t="s">
        <v>24</v>
      </c>
      <c r="D15" t="s">
        <v>60</v>
      </c>
      <c r="E15" t="s">
        <v>64</v>
      </c>
      <c r="N15" t="s">
        <v>49</v>
      </c>
      <c r="O15">
        <v>1</v>
      </c>
    </row>
    <row r="16" spans="1:16" x14ac:dyDescent="0.25">
      <c r="A16" t="s">
        <v>65</v>
      </c>
      <c r="B16" t="s">
        <v>66</v>
      </c>
      <c r="C16" t="s">
        <v>29</v>
      </c>
      <c r="D16" t="s">
        <v>67</v>
      </c>
      <c r="E16" t="s">
        <v>68</v>
      </c>
      <c r="N16" t="s">
        <v>51</v>
      </c>
      <c r="O16">
        <v>10</v>
      </c>
    </row>
    <row r="17" spans="1:15" x14ac:dyDescent="0.25">
      <c r="A17" t="s">
        <v>69</v>
      </c>
      <c r="B17" t="s">
        <v>70</v>
      </c>
      <c r="C17" t="s">
        <v>34</v>
      </c>
      <c r="D17" t="s">
        <v>71</v>
      </c>
      <c r="E17" t="s">
        <v>72</v>
      </c>
      <c r="N17" s="5" t="s">
        <v>50</v>
      </c>
      <c r="O17" s="5">
        <f>(((O12*100)-O14)/O16)+O15</f>
        <v>3.9099999999999993</v>
      </c>
    </row>
    <row r="18" spans="1:15" x14ac:dyDescent="0.25">
      <c r="A18" s="2">
        <v>0.27</v>
      </c>
      <c r="B18" s="2">
        <v>0.33</v>
      </c>
      <c r="C18" t="s">
        <v>37</v>
      </c>
      <c r="D18" s="2">
        <v>0.17</v>
      </c>
      <c r="E18" s="2">
        <v>0.2</v>
      </c>
    </row>
    <row r="19" spans="1:15" x14ac:dyDescent="0.25">
      <c r="A19" s="2">
        <v>0.18</v>
      </c>
      <c r="B19" s="2">
        <v>0.1</v>
      </c>
      <c r="C19" t="s">
        <v>38</v>
      </c>
      <c r="D19" s="2">
        <v>0.06</v>
      </c>
      <c r="E19" s="2">
        <v>0.1</v>
      </c>
    </row>
    <row r="20" spans="1:15" x14ac:dyDescent="0.25">
      <c r="A20" s="2">
        <v>0.36</v>
      </c>
      <c r="B20" s="2">
        <v>0.48</v>
      </c>
      <c r="C20" t="s">
        <v>39</v>
      </c>
      <c r="D20" s="2">
        <v>0.44</v>
      </c>
      <c r="E20" s="2">
        <v>0.5</v>
      </c>
    </row>
    <row r="21" spans="1:15" x14ac:dyDescent="0.25">
      <c r="A21" s="2">
        <v>0.55000000000000004</v>
      </c>
      <c r="B21" s="2">
        <v>0.33</v>
      </c>
      <c r="C21" t="s">
        <v>40</v>
      </c>
      <c r="D21" s="2">
        <v>0.28000000000000003</v>
      </c>
      <c r="E21" s="2">
        <v>0.2</v>
      </c>
    </row>
    <row r="22" spans="1:15" x14ac:dyDescent="0.25">
      <c r="A22" s="2">
        <v>0.09</v>
      </c>
      <c r="B22" s="2">
        <v>0.24</v>
      </c>
      <c r="C22" t="s">
        <v>41</v>
      </c>
      <c r="D22" s="2">
        <v>0.33</v>
      </c>
      <c r="E22" s="2">
        <v>0.3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22"/>
  <sheetViews>
    <sheetView workbookViewId="0">
      <selection activeCell="O16" sqref="O16"/>
    </sheetView>
  </sheetViews>
  <sheetFormatPr baseColWidth="10" defaultRowHeight="15" x14ac:dyDescent="0.25"/>
  <cols>
    <col min="1" max="1" width="10.5703125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75</v>
      </c>
      <c r="B1" s="1">
        <v>42203</v>
      </c>
      <c r="C1" t="s">
        <v>77</v>
      </c>
    </row>
    <row r="2" spans="1:16" x14ac:dyDescent="0.25">
      <c r="A2" t="s">
        <v>76</v>
      </c>
      <c r="C2" t="s">
        <v>78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0.5</v>
      </c>
      <c r="C6">
        <v>3</v>
      </c>
      <c r="D6">
        <v>7</v>
      </c>
      <c r="E6" t="s">
        <v>8</v>
      </c>
      <c r="F6">
        <v>6</v>
      </c>
      <c r="G6">
        <v>1</v>
      </c>
      <c r="H6" s="2">
        <v>0.11</v>
      </c>
      <c r="J6" s="2">
        <f>A6+H8</f>
        <v>1.17</v>
      </c>
      <c r="K6">
        <f>J6/2</f>
        <v>0.58499999999999996</v>
      </c>
      <c r="M6">
        <v>0.60399999999999998</v>
      </c>
      <c r="N6">
        <f>M6+K6</f>
        <v>1.1890000000000001</v>
      </c>
      <c r="O6" s="4">
        <f>N6/2</f>
        <v>0.59450000000000003</v>
      </c>
      <c r="P6" s="4" t="s">
        <v>42</v>
      </c>
    </row>
    <row r="7" spans="1:16" x14ac:dyDescent="0.25">
      <c r="A7" s="2">
        <v>0.17</v>
      </c>
      <c r="C7">
        <v>1</v>
      </c>
      <c r="D7">
        <v>3</v>
      </c>
      <c r="E7" t="s">
        <v>9</v>
      </c>
      <c r="F7">
        <v>4</v>
      </c>
      <c r="G7">
        <v>2</v>
      </c>
      <c r="H7" s="2">
        <v>0.22</v>
      </c>
      <c r="J7" s="2">
        <f>A7+H7</f>
        <v>0.39</v>
      </c>
      <c r="K7">
        <f t="shared" ref="K7:K8" si="0">J7/2</f>
        <v>0.19500000000000001</v>
      </c>
      <c r="M7">
        <v>0.22800000000000001</v>
      </c>
      <c r="N7">
        <f t="shared" ref="N7:N8" si="1">M7+K7</f>
        <v>0.42300000000000004</v>
      </c>
      <c r="O7" s="4">
        <f t="shared" ref="O7:O8" si="2">N7/2</f>
        <v>0.21150000000000002</v>
      </c>
      <c r="P7" s="4" t="s">
        <v>48</v>
      </c>
    </row>
    <row r="8" spans="1:16" x14ac:dyDescent="0.25">
      <c r="A8" s="2">
        <v>0.33</v>
      </c>
      <c r="C8">
        <v>2</v>
      </c>
      <c r="D8">
        <v>7</v>
      </c>
      <c r="E8" t="s">
        <v>10</v>
      </c>
      <c r="F8">
        <v>10</v>
      </c>
      <c r="G8">
        <v>6</v>
      </c>
      <c r="H8" s="2">
        <v>0.67</v>
      </c>
      <c r="J8" s="2">
        <f>A8+H6</f>
        <v>0.44</v>
      </c>
      <c r="K8">
        <f t="shared" si="0"/>
        <v>0.22</v>
      </c>
      <c r="M8">
        <v>0.16800000000000001</v>
      </c>
      <c r="N8">
        <f t="shared" si="1"/>
        <v>0.38800000000000001</v>
      </c>
      <c r="O8" s="4">
        <f t="shared" si="2"/>
        <v>0.19400000000000001</v>
      </c>
      <c r="P8" s="4" t="s">
        <v>43</v>
      </c>
    </row>
    <row r="9" spans="1:16" x14ac:dyDescent="0.25">
      <c r="A9">
        <v>6</v>
      </c>
      <c r="D9">
        <v>17</v>
      </c>
      <c r="E9" t="s">
        <v>5</v>
      </c>
      <c r="F9">
        <v>20</v>
      </c>
      <c r="G9">
        <v>9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8</v>
      </c>
      <c r="B12">
        <v>26</v>
      </c>
      <c r="C12" t="s">
        <v>15</v>
      </c>
      <c r="D12">
        <v>25</v>
      </c>
      <c r="E12">
        <v>11</v>
      </c>
      <c r="I12" t="s">
        <v>42</v>
      </c>
      <c r="J12">
        <f>A12-A13</f>
        <v>2</v>
      </c>
      <c r="N12" s="5"/>
      <c r="O12" s="5">
        <f>MAX(O6:O8)</f>
        <v>0.59450000000000003</v>
      </c>
      <c r="P12" s="5" t="str">
        <f>VLOOKUP(O12,O6:P8,2,FALSE)</f>
        <v>L</v>
      </c>
    </row>
    <row r="13" spans="1:16" x14ac:dyDescent="0.25">
      <c r="A13">
        <v>6</v>
      </c>
      <c r="B13">
        <v>27</v>
      </c>
      <c r="C13" t="s">
        <v>16</v>
      </c>
      <c r="D13">
        <v>32</v>
      </c>
      <c r="E13">
        <v>22</v>
      </c>
      <c r="I13" t="s">
        <v>43</v>
      </c>
      <c r="J13">
        <f>E12-E13</f>
        <v>-11</v>
      </c>
    </row>
    <row r="14" spans="1:16" x14ac:dyDescent="0.25">
      <c r="A14" t="s">
        <v>79</v>
      </c>
      <c r="B14" t="s">
        <v>80</v>
      </c>
      <c r="C14" t="s">
        <v>19</v>
      </c>
      <c r="D14" t="s">
        <v>81</v>
      </c>
      <c r="E14" t="s">
        <v>82</v>
      </c>
      <c r="J14">
        <f>J12-J13</f>
        <v>13</v>
      </c>
      <c r="N14" t="s">
        <v>53</v>
      </c>
      <c r="O14">
        <v>35</v>
      </c>
    </row>
    <row r="15" spans="1:16" x14ac:dyDescent="0.25">
      <c r="A15" t="s">
        <v>83</v>
      </c>
      <c r="B15" t="s">
        <v>84</v>
      </c>
      <c r="C15" t="s">
        <v>24</v>
      </c>
      <c r="D15" t="s">
        <v>85</v>
      </c>
      <c r="E15" t="s">
        <v>86</v>
      </c>
      <c r="N15" t="s">
        <v>49</v>
      </c>
      <c r="O15">
        <v>1</v>
      </c>
    </row>
    <row r="16" spans="1:16" x14ac:dyDescent="0.25">
      <c r="A16" t="s">
        <v>87</v>
      </c>
      <c r="B16" t="s">
        <v>88</v>
      </c>
      <c r="C16" t="s">
        <v>29</v>
      </c>
      <c r="D16" t="s">
        <v>89</v>
      </c>
      <c r="E16" t="s">
        <v>90</v>
      </c>
      <c r="N16" t="s">
        <v>51</v>
      </c>
      <c r="O16">
        <v>10</v>
      </c>
    </row>
    <row r="17" spans="1:15" x14ac:dyDescent="0.25">
      <c r="A17" t="s">
        <v>91</v>
      </c>
      <c r="B17" t="s">
        <v>92</v>
      </c>
      <c r="C17" t="s">
        <v>34</v>
      </c>
      <c r="D17" t="s">
        <v>93</v>
      </c>
      <c r="E17" t="s">
        <v>94</v>
      </c>
      <c r="N17" s="5" t="s">
        <v>50</v>
      </c>
      <c r="O17" s="5">
        <f>(((O12*100)-O14)/O16)+O15</f>
        <v>3.4450000000000003</v>
      </c>
    </row>
    <row r="18" spans="1:15" x14ac:dyDescent="0.25">
      <c r="A18" s="2">
        <v>0.33</v>
      </c>
      <c r="B18" s="2">
        <v>0.41</v>
      </c>
      <c r="C18" t="s">
        <v>37</v>
      </c>
      <c r="D18" s="2">
        <v>0.25</v>
      </c>
      <c r="E18" s="2">
        <v>0.44</v>
      </c>
    </row>
    <row r="19" spans="1:15" x14ac:dyDescent="0.25">
      <c r="A19" s="2">
        <v>0</v>
      </c>
      <c r="B19" s="2">
        <v>0.18</v>
      </c>
      <c r="C19" t="s">
        <v>38</v>
      </c>
      <c r="D19" s="2">
        <v>0.2</v>
      </c>
      <c r="E19" s="2">
        <v>0.44</v>
      </c>
    </row>
    <row r="20" spans="1:15" x14ac:dyDescent="0.25">
      <c r="A20" s="2">
        <v>0.5</v>
      </c>
      <c r="B20" s="2">
        <v>0.59</v>
      </c>
      <c r="C20" t="s">
        <v>39</v>
      </c>
      <c r="D20" s="2">
        <v>0.5</v>
      </c>
      <c r="E20" s="2">
        <v>0.67</v>
      </c>
    </row>
    <row r="21" spans="1:15" x14ac:dyDescent="0.25">
      <c r="A21" s="2">
        <v>0.33</v>
      </c>
      <c r="B21" s="2">
        <v>0.24</v>
      </c>
      <c r="C21" t="s">
        <v>40</v>
      </c>
      <c r="D21" s="2">
        <v>0.3</v>
      </c>
      <c r="E21" s="2">
        <v>0.11</v>
      </c>
    </row>
    <row r="22" spans="1:15" x14ac:dyDescent="0.25">
      <c r="A22" s="2">
        <v>0.33</v>
      </c>
      <c r="B22" s="2">
        <v>0.24</v>
      </c>
      <c r="C22" t="s">
        <v>41</v>
      </c>
      <c r="D22" s="2">
        <v>0.25</v>
      </c>
      <c r="E22" s="2">
        <v>0.22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22"/>
  <sheetViews>
    <sheetView workbookViewId="0">
      <selection activeCell="O16" sqref="O16"/>
    </sheetView>
  </sheetViews>
  <sheetFormatPr baseColWidth="10" defaultRowHeight="15" x14ac:dyDescent="0.25"/>
  <cols>
    <col min="1" max="1" width="12" bestFit="1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95</v>
      </c>
      <c r="B1" s="1">
        <v>42203</v>
      </c>
      <c r="C1" t="s">
        <v>97</v>
      </c>
    </row>
    <row r="2" spans="1:16" x14ac:dyDescent="0.25">
      <c r="A2" t="s">
        <v>96</v>
      </c>
      <c r="C2" t="s">
        <v>98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0.3</v>
      </c>
      <c r="C6">
        <v>3</v>
      </c>
      <c r="D6">
        <v>6</v>
      </c>
      <c r="E6" t="s">
        <v>8</v>
      </c>
      <c r="F6">
        <v>7</v>
      </c>
      <c r="G6">
        <v>2</v>
      </c>
      <c r="H6" s="2">
        <v>0.22</v>
      </c>
      <c r="J6" s="2">
        <f>A6+H8</f>
        <v>0.74</v>
      </c>
      <c r="K6">
        <f>J6/2</f>
        <v>0.37</v>
      </c>
      <c r="M6">
        <v>0.497</v>
      </c>
      <c r="N6">
        <f>M6+K6</f>
        <v>0.86699999999999999</v>
      </c>
      <c r="O6" s="4">
        <f>N6/2</f>
        <v>0.4335</v>
      </c>
      <c r="P6" s="4" t="s">
        <v>42</v>
      </c>
    </row>
    <row r="7" spans="1:16" x14ac:dyDescent="0.25">
      <c r="A7" s="2">
        <v>0.3</v>
      </c>
      <c r="C7">
        <v>3</v>
      </c>
      <c r="D7">
        <v>6</v>
      </c>
      <c r="E7" t="s">
        <v>9</v>
      </c>
      <c r="F7">
        <v>5</v>
      </c>
      <c r="G7">
        <v>3</v>
      </c>
      <c r="H7" s="2">
        <v>0.33</v>
      </c>
      <c r="J7" s="2">
        <f>A7+H7</f>
        <v>0.63</v>
      </c>
      <c r="K7">
        <f t="shared" ref="K7:K8" si="0">J7/2</f>
        <v>0.315</v>
      </c>
      <c r="M7">
        <v>0.28199999999999997</v>
      </c>
      <c r="N7">
        <f t="shared" ref="N7:N8" si="1">M7+K7</f>
        <v>0.59699999999999998</v>
      </c>
      <c r="O7" s="4">
        <f t="shared" ref="O7:O8" si="2">N7/2</f>
        <v>0.29849999999999999</v>
      </c>
      <c r="P7" s="4" t="s">
        <v>48</v>
      </c>
    </row>
    <row r="8" spans="1:16" x14ac:dyDescent="0.25">
      <c r="A8" s="2">
        <v>0.4</v>
      </c>
      <c r="C8">
        <v>4</v>
      </c>
      <c r="D8">
        <v>7</v>
      </c>
      <c r="E8" t="s">
        <v>10</v>
      </c>
      <c r="F8">
        <v>6</v>
      </c>
      <c r="G8">
        <v>4</v>
      </c>
      <c r="H8" s="2">
        <v>0.44</v>
      </c>
      <c r="J8" s="2">
        <f>A8+H6</f>
        <v>0.62</v>
      </c>
      <c r="K8">
        <f t="shared" si="0"/>
        <v>0.31</v>
      </c>
      <c r="M8">
        <v>0.22</v>
      </c>
      <c r="N8">
        <f t="shared" si="1"/>
        <v>0.53</v>
      </c>
      <c r="O8" s="4">
        <f t="shared" si="2"/>
        <v>0.26500000000000001</v>
      </c>
      <c r="P8" s="4" t="s">
        <v>43</v>
      </c>
    </row>
    <row r="9" spans="1:16" x14ac:dyDescent="0.25">
      <c r="A9">
        <v>10</v>
      </c>
      <c r="D9">
        <v>19</v>
      </c>
      <c r="E9" t="s">
        <v>5</v>
      </c>
      <c r="F9">
        <v>18</v>
      </c>
      <c r="G9">
        <v>9</v>
      </c>
      <c r="M9">
        <f>SUM(M6:M8)</f>
        <v>0.99899999999999989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12</v>
      </c>
      <c r="B12">
        <v>23</v>
      </c>
      <c r="C12" t="s">
        <v>15</v>
      </c>
      <c r="D12">
        <v>27</v>
      </c>
      <c r="E12">
        <v>13</v>
      </c>
      <c r="I12" t="s">
        <v>42</v>
      </c>
      <c r="J12">
        <f>A12-A13</f>
        <v>1</v>
      </c>
      <c r="N12" s="5"/>
      <c r="O12" s="5">
        <f>MAX(O6:O8)</f>
        <v>0.4335</v>
      </c>
      <c r="P12" s="5" t="str">
        <f>VLOOKUP(O12,O6:P8,2,FALSE)</f>
        <v>L</v>
      </c>
    </row>
    <row r="13" spans="1:16" x14ac:dyDescent="0.25">
      <c r="A13">
        <v>11</v>
      </c>
      <c r="B13">
        <v>24</v>
      </c>
      <c r="C13" t="s">
        <v>16</v>
      </c>
      <c r="D13">
        <v>23</v>
      </c>
      <c r="E13">
        <v>15</v>
      </c>
      <c r="I13" t="s">
        <v>43</v>
      </c>
      <c r="J13">
        <f>E12-E13</f>
        <v>-2</v>
      </c>
    </row>
    <row r="14" spans="1:16" x14ac:dyDescent="0.25">
      <c r="A14" t="s">
        <v>99</v>
      </c>
      <c r="B14" t="s">
        <v>100</v>
      </c>
      <c r="C14" t="s">
        <v>19</v>
      </c>
      <c r="D14" t="s">
        <v>20</v>
      </c>
      <c r="E14" t="s">
        <v>101</v>
      </c>
      <c r="J14">
        <f>J12-J13</f>
        <v>3</v>
      </c>
      <c r="N14" t="s">
        <v>53</v>
      </c>
      <c r="O14">
        <v>35</v>
      </c>
    </row>
    <row r="15" spans="1:16" x14ac:dyDescent="0.25">
      <c r="A15" t="s">
        <v>102</v>
      </c>
      <c r="B15" t="s">
        <v>103</v>
      </c>
      <c r="C15" t="s">
        <v>24</v>
      </c>
      <c r="D15" t="s">
        <v>104</v>
      </c>
      <c r="E15" t="s">
        <v>105</v>
      </c>
      <c r="N15" t="s">
        <v>49</v>
      </c>
      <c r="O15">
        <v>1</v>
      </c>
    </row>
    <row r="16" spans="1:16" x14ac:dyDescent="0.25">
      <c r="A16" t="s">
        <v>106</v>
      </c>
      <c r="B16" t="s">
        <v>107</v>
      </c>
      <c r="C16" t="s">
        <v>29</v>
      </c>
      <c r="D16" t="s">
        <v>108</v>
      </c>
      <c r="E16" t="s">
        <v>109</v>
      </c>
      <c r="N16" t="s">
        <v>51</v>
      </c>
      <c r="O16">
        <v>10</v>
      </c>
    </row>
    <row r="17" spans="1:15" x14ac:dyDescent="0.25">
      <c r="A17" t="s">
        <v>110</v>
      </c>
      <c r="B17" t="s">
        <v>111</v>
      </c>
      <c r="C17" t="s">
        <v>34</v>
      </c>
      <c r="D17" t="s">
        <v>112</v>
      </c>
      <c r="E17" t="s">
        <v>113</v>
      </c>
      <c r="N17" s="5" t="s">
        <v>50</v>
      </c>
      <c r="O17" s="5">
        <f>(((O12*100)-O14)/O16)+O15</f>
        <v>1.8350000000000002</v>
      </c>
    </row>
    <row r="18" spans="1:15" x14ac:dyDescent="0.25">
      <c r="A18" s="2">
        <v>0.3</v>
      </c>
      <c r="B18" s="2">
        <v>0.26</v>
      </c>
      <c r="C18" t="s">
        <v>37</v>
      </c>
      <c r="D18" s="2">
        <v>0.22</v>
      </c>
      <c r="E18" s="2">
        <v>0.33</v>
      </c>
    </row>
    <row r="19" spans="1:15" x14ac:dyDescent="0.25">
      <c r="A19" s="2">
        <v>0</v>
      </c>
      <c r="B19" s="2">
        <v>0.05</v>
      </c>
      <c r="C19" t="s">
        <v>38</v>
      </c>
      <c r="D19" s="2">
        <v>0.11</v>
      </c>
      <c r="E19" s="2">
        <v>0.11</v>
      </c>
    </row>
    <row r="20" spans="1:15" x14ac:dyDescent="0.25">
      <c r="A20" s="2">
        <v>0.3</v>
      </c>
      <c r="B20" s="2">
        <v>0.42</v>
      </c>
      <c r="C20" t="s">
        <v>39</v>
      </c>
      <c r="D20" s="2">
        <v>0.72</v>
      </c>
      <c r="E20" s="2">
        <v>0.89</v>
      </c>
    </row>
    <row r="21" spans="1:15" x14ac:dyDescent="0.25">
      <c r="A21" s="2">
        <v>0.3</v>
      </c>
      <c r="B21" s="2">
        <v>0.26</v>
      </c>
      <c r="C21" t="s">
        <v>40</v>
      </c>
      <c r="D21" s="2">
        <v>0.22</v>
      </c>
      <c r="E21" s="2">
        <v>0.11</v>
      </c>
    </row>
    <row r="22" spans="1:15" x14ac:dyDescent="0.25">
      <c r="A22" s="2">
        <v>0.4</v>
      </c>
      <c r="B22" s="2">
        <v>0.32</v>
      </c>
      <c r="C22" t="s">
        <v>41</v>
      </c>
      <c r="D22" s="2">
        <v>0.11</v>
      </c>
      <c r="E22" s="2">
        <v>0.11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22"/>
  <sheetViews>
    <sheetView workbookViewId="0">
      <selection activeCell="O16" sqref="O16"/>
    </sheetView>
  </sheetViews>
  <sheetFormatPr baseColWidth="10" defaultRowHeight="15" x14ac:dyDescent="0.25"/>
  <cols>
    <col min="1" max="1" width="12.5703125" bestFit="1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114</v>
      </c>
      <c r="B1" s="1">
        <v>42203</v>
      </c>
      <c r="C1" t="s">
        <v>116</v>
      </c>
    </row>
    <row r="2" spans="1:16" x14ac:dyDescent="0.25">
      <c r="A2" t="s">
        <v>115</v>
      </c>
      <c r="C2" t="s">
        <v>117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0.4</v>
      </c>
      <c r="C6">
        <v>4</v>
      </c>
      <c r="D6">
        <v>6</v>
      </c>
      <c r="E6" t="s">
        <v>8</v>
      </c>
      <c r="F6">
        <v>5</v>
      </c>
      <c r="G6">
        <v>3</v>
      </c>
      <c r="H6" s="2">
        <v>0.33</v>
      </c>
      <c r="J6" s="2">
        <f>A6+H8</f>
        <v>0.84000000000000008</v>
      </c>
      <c r="K6">
        <f>J6/2</f>
        <v>0.42000000000000004</v>
      </c>
      <c r="M6">
        <v>0.56799999999999995</v>
      </c>
      <c r="N6">
        <f>M6+K6</f>
        <v>0.98799999999999999</v>
      </c>
      <c r="O6" s="4">
        <f>N6/2</f>
        <v>0.49399999999999999</v>
      </c>
      <c r="P6" s="4" t="s">
        <v>42</v>
      </c>
    </row>
    <row r="7" spans="1:16" x14ac:dyDescent="0.25">
      <c r="A7" s="2">
        <v>0.5</v>
      </c>
      <c r="C7">
        <v>5</v>
      </c>
      <c r="D7">
        <v>6</v>
      </c>
      <c r="E7" t="s">
        <v>9</v>
      </c>
      <c r="F7">
        <v>6</v>
      </c>
      <c r="G7">
        <v>2</v>
      </c>
      <c r="H7" s="2">
        <v>0.22</v>
      </c>
      <c r="J7" s="2">
        <f>A7+H7</f>
        <v>0.72</v>
      </c>
      <c r="K7">
        <f t="shared" ref="K7:K8" si="0">J7/2</f>
        <v>0.36</v>
      </c>
      <c r="M7">
        <v>0.27100000000000002</v>
      </c>
      <c r="N7">
        <f t="shared" ref="N7:N8" si="1">M7+K7</f>
        <v>0.63100000000000001</v>
      </c>
      <c r="O7" s="4">
        <f t="shared" ref="O7:O8" si="2">N7/2</f>
        <v>0.3155</v>
      </c>
      <c r="P7" s="4" t="s">
        <v>48</v>
      </c>
    </row>
    <row r="8" spans="1:16" x14ac:dyDescent="0.25">
      <c r="A8" s="2">
        <v>0.1</v>
      </c>
      <c r="C8">
        <v>1</v>
      </c>
      <c r="D8">
        <v>9</v>
      </c>
      <c r="E8" t="s">
        <v>10</v>
      </c>
      <c r="F8">
        <v>8</v>
      </c>
      <c r="G8">
        <v>4</v>
      </c>
      <c r="H8" s="2">
        <v>0.44</v>
      </c>
      <c r="J8" s="2">
        <f>A8+H6</f>
        <v>0.43000000000000005</v>
      </c>
      <c r="K8">
        <f t="shared" si="0"/>
        <v>0.21500000000000002</v>
      </c>
      <c r="M8">
        <v>0.161</v>
      </c>
      <c r="N8">
        <f t="shared" si="1"/>
        <v>0.376</v>
      </c>
      <c r="O8" s="4">
        <f t="shared" si="2"/>
        <v>0.188</v>
      </c>
      <c r="P8" s="4" t="s">
        <v>43</v>
      </c>
    </row>
    <row r="9" spans="1:16" x14ac:dyDescent="0.25">
      <c r="A9">
        <v>10</v>
      </c>
      <c r="D9">
        <v>21</v>
      </c>
      <c r="E9" t="s">
        <v>5</v>
      </c>
      <c r="F9">
        <v>19</v>
      </c>
      <c r="G9">
        <v>9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15</v>
      </c>
      <c r="B12">
        <v>26</v>
      </c>
      <c r="C12" t="s">
        <v>15</v>
      </c>
      <c r="D12">
        <v>24</v>
      </c>
      <c r="E12">
        <v>9</v>
      </c>
      <c r="I12" t="s">
        <v>42</v>
      </c>
      <c r="J12">
        <f>A12-A13</f>
        <v>7</v>
      </c>
      <c r="N12" s="5"/>
      <c r="O12" s="5">
        <f>MAX(O6:O8)</f>
        <v>0.49399999999999999</v>
      </c>
      <c r="P12" s="5" t="str">
        <f>VLOOKUP(O12,O6:P8,2,FALSE)</f>
        <v>L</v>
      </c>
    </row>
    <row r="13" spans="1:16" x14ac:dyDescent="0.25">
      <c r="A13">
        <v>8</v>
      </c>
      <c r="B13">
        <v>33</v>
      </c>
      <c r="C13" t="s">
        <v>16</v>
      </c>
      <c r="D13">
        <v>27</v>
      </c>
      <c r="E13">
        <v>10</v>
      </c>
      <c r="I13" t="s">
        <v>43</v>
      </c>
      <c r="J13">
        <f>E12-E13</f>
        <v>-1</v>
      </c>
    </row>
    <row r="14" spans="1:16" x14ac:dyDescent="0.25">
      <c r="A14" t="s">
        <v>118</v>
      </c>
      <c r="B14" t="s">
        <v>119</v>
      </c>
      <c r="C14" t="s">
        <v>19</v>
      </c>
      <c r="D14" t="s">
        <v>103</v>
      </c>
      <c r="E14" t="s">
        <v>61</v>
      </c>
      <c r="J14">
        <f>J12-J13</f>
        <v>8</v>
      </c>
      <c r="N14" t="s">
        <v>53</v>
      </c>
      <c r="O14">
        <v>35</v>
      </c>
    </row>
    <row r="15" spans="1:16" x14ac:dyDescent="0.25">
      <c r="A15" t="s">
        <v>120</v>
      </c>
      <c r="B15" t="s">
        <v>121</v>
      </c>
      <c r="C15" t="s">
        <v>24</v>
      </c>
      <c r="D15" t="s">
        <v>122</v>
      </c>
      <c r="E15" t="s">
        <v>123</v>
      </c>
      <c r="N15" t="s">
        <v>49</v>
      </c>
      <c r="O15">
        <v>1</v>
      </c>
    </row>
    <row r="16" spans="1:16" x14ac:dyDescent="0.25">
      <c r="A16" t="s">
        <v>106</v>
      </c>
      <c r="B16" t="s">
        <v>124</v>
      </c>
      <c r="C16" t="s">
        <v>29</v>
      </c>
      <c r="D16" t="s">
        <v>125</v>
      </c>
      <c r="E16" t="s">
        <v>126</v>
      </c>
      <c r="N16" t="s">
        <v>51</v>
      </c>
      <c r="O16">
        <v>10</v>
      </c>
    </row>
    <row r="17" spans="1:15" x14ac:dyDescent="0.25">
      <c r="A17" t="s">
        <v>91</v>
      </c>
      <c r="B17" t="s">
        <v>127</v>
      </c>
      <c r="C17" t="s">
        <v>34</v>
      </c>
      <c r="D17" t="s">
        <v>128</v>
      </c>
      <c r="E17" t="s">
        <v>129</v>
      </c>
      <c r="N17" s="5" t="s">
        <v>50</v>
      </c>
      <c r="O17" s="5">
        <f>(((O12*100)-O14)/O16)+O15</f>
        <v>2.44</v>
      </c>
    </row>
    <row r="18" spans="1:15" x14ac:dyDescent="0.25">
      <c r="A18" s="2">
        <v>0.2</v>
      </c>
      <c r="B18" s="2">
        <v>0.24</v>
      </c>
      <c r="C18" t="s">
        <v>37</v>
      </c>
      <c r="D18" s="2">
        <v>0.26</v>
      </c>
      <c r="E18" s="2">
        <v>0</v>
      </c>
    </row>
    <row r="19" spans="1:15" x14ac:dyDescent="0.25">
      <c r="A19" s="2">
        <v>0</v>
      </c>
      <c r="B19" s="2">
        <v>0.1</v>
      </c>
      <c r="C19" t="s">
        <v>38</v>
      </c>
      <c r="D19" s="2">
        <v>0.05</v>
      </c>
      <c r="E19" s="2">
        <v>0</v>
      </c>
    </row>
    <row r="20" spans="1:15" x14ac:dyDescent="0.25">
      <c r="A20" s="2">
        <v>0.6</v>
      </c>
      <c r="B20" s="2">
        <v>0.56999999999999995</v>
      </c>
      <c r="C20" t="s">
        <v>39</v>
      </c>
      <c r="D20" s="2">
        <v>0.63</v>
      </c>
      <c r="E20" s="2">
        <v>0.56000000000000005</v>
      </c>
    </row>
    <row r="21" spans="1:15" x14ac:dyDescent="0.25">
      <c r="A21" s="2">
        <v>0.4</v>
      </c>
      <c r="B21" s="2">
        <v>0.24</v>
      </c>
      <c r="C21" t="s">
        <v>40</v>
      </c>
      <c r="D21" s="2">
        <v>0.16</v>
      </c>
      <c r="E21" s="2">
        <v>0.22</v>
      </c>
    </row>
    <row r="22" spans="1:15" x14ac:dyDescent="0.25">
      <c r="A22" s="2">
        <v>0.2</v>
      </c>
      <c r="B22" s="2">
        <v>0.28999999999999998</v>
      </c>
      <c r="C22" t="s">
        <v>41</v>
      </c>
      <c r="D22" s="2">
        <v>0.26</v>
      </c>
      <c r="E22" s="2">
        <v>0.33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22"/>
  <sheetViews>
    <sheetView workbookViewId="0">
      <selection activeCell="O16" sqref="O16"/>
    </sheetView>
  </sheetViews>
  <sheetFormatPr baseColWidth="10" defaultRowHeight="15" x14ac:dyDescent="0.25"/>
  <cols>
    <col min="1" max="1" width="11.140625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130</v>
      </c>
      <c r="B1" s="1">
        <v>42204</v>
      </c>
      <c r="C1" t="s">
        <v>132</v>
      </c>
    </row>
    <row r="2" spans="1:16" x14ac:dyDescent="0.25">
      <c r="A2" t="s">
        <v>131</v>
      </c>
      <c r="C2" t="s">
        <v>133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0.67</v>
      </c>
      <c r="C6">
        <v>6</v>
      </c>
      <c r="D6">
        <v>8</v>
      </c>
      <c r="E6" t="s">
        <v>8</v>
      </c>
      <c r="F6">
        <v>6</v>
      </c>
      <c r="G6">
        <v>1</v>
      </c>
      <c r="H6" s="2">
        <v>0.12</v>
      </c>
      <c r="J6" s="2">
        <f>A6+H8</f>
        <v>1.29</v>
      </c>
      <c r="K6">
        <f>J6/2</f>
        <v>0.64500000000000002</v>
      </c>
      <c r="M6">
        <v>0.66700000000000004</v>
      </c>
      <c r="N6">
        <f>M6+K6</f>
        <v>1.3120000000000001</v>
      </c>
      <c r="O6" s="4">
        <f>N6/2</f>
        <v>0.65600000000000003</v>
      </c>
      <c r="P6" s="4" t="s">
        <v>42</v>
      </c>
    </row>
    <row r="7" spans="1:16" x14ac:dyDescent="0.25">
      <c r="A7" s="2">
        <v>0.33</v>
      </c>
      <c r="C7">
        <v>3</v>
      </c>
      <c r="D7">
        <v>6</v>
      </c>
      <c r="E7" t="s">
        <v>9</v>
      </c>
      <c r="F7">
        <v>3</v>
      </c>
      <c r="G7">
        <v>2</v>
      </c>
      <c r="H7" s="2">
        <v>0.25</v>
      </c>
      <c r="J7" s="2">
        <f>A7+H7</f>
        <v>0.58000000000000007</v>
      </c>
      <c r="K7">
        <f t="shared" ref="K7:K8" si="0">J7/2</f>
        <v>0.29000000000000004</v>
      </c>
      <c r="M7">
        <v>0.26700000000000002</v>
      </c>
      <c r="N7">
        <f t="shared" ref="N7:N8" si="1">M7+K7</f>
        <v>0.55700000000000005</v>
      </c>
      <c r="O7" s="4">
        <f t="shared" ref="O7:O8" si="2">N7/2</f>
        <v>0.27850000000000003</v>
      </c>
      <c r="P7" s="4" t="s">
        <v>48</v>
      </c>
    </row>
    <row r="8" spans="1:16" x14ac:dyDescent="0.25">
      <c r="A8" s="2">
        <v>0</v>
      </c>
      <c r="C8">
        <v>0</v>
      </c>
      <c r="D8">
        <v>3</v>
      </c>
      <c r="E8" t="s">
        <v>10</v>
      </c>
      <c r="F8">
        <v>7</v>
      </c>
      <c r="G8">
        <v>5</v>
      </c>
      <c r="H8" s="2">
        <v>0.62</v>
      </c>
      <c r="J8" s="2">
        <f>A8+H6</f>
        <v>0.12</v>
      </c>
      <c r="K8">
        <f t="shared" si="0"/>
        <v>0.06</v>
      </c>
      <c r="M8">
        <v>6.7000000000000004E-2</v>
      </c>
      <c r="N8">
        <f t="shared" si="1"/>
        <v>0.127</v>
      </c>
      <c r="O8" s="4">
        <f t="shared" si="2"/>
        <v>6.3500000000000001E-2</v>
      </c>
      <c r="P8" s="4" t="s">
        <v>43</v>
      </c>
    </row>
    <row r="9" spans="1:16" x14ac:dyDescent="0.25">
      <c r="A9">
        <v>9</v>
      </c>
      <c r="D9">
        <v>17</v>
      </c>
      <c r="E9" t="s">
        <v>5</v>
      </c>
      <c r="F9">
        <v>16</v>
      </c>
      <c r="G9">
        <v>8</v>
      </c>
      <c r="M9">
        <f>SUM(M6:M8)</f>
        <v>1.0010000000000001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16</v>
      </c>
      <c r="B12">
        <v>26</v>
      </c>
      <c r="C12" t="s">
        <v>15</v>
      </c>
      <c r="D12">
        <v>23</v>
      </c>
      <c r="E12">
        <v>6</v>
      </c>
      <c r="I12" t="s">
        <v>42</v>
      </c>
      <c r="J12">
        <f>A12-A13</f>
        <v>11</v>
      </c>
      <c r="N12" s="5"/>
      <c r="O12" s="5">
        <f>MAX(O6:O8)</f>
        <v>0.65600000000000003</v>
      </c>
      <c r="P12" s="5" t="str">
        <f>VLOOKUP(O12,O6:P8,2,FALSE)</f>
        <v>L</v>
      </c>
    </row>
    <row r="13" spans="1:16" x14ac:dyDescent="0.25">
      <c r="A13">
        <v>5</v>
      </c>
      <c r="B13">
        <v>17</v>
      </c>
      <c r="C13" t="s">
        <v>16</v>
      </c>
      <c r="D13">
        <v>25</v>
      </c>
      <c r="E13">
        <v>16</v>
      </c>
      <c r="I13" t="s">
        <v>43</v>
      </c>
      <c r="J13">
        <f>E12-E13</f>
        <v>-10</v>
      </c>
    </row>
    <row r="14" spans="1:16" x14ac:dyDescent="0.25">
      <c r="A14" t="s">
        <v>134</v>
      </c>
      <c r="B14" t="s">
        <v>80</v>
      </c>
      <c r="C14" t="s">
        <v>19</v>
      </c>
      <c r="D14" t="s">
        <v>135</v>
      </c>
      <c r="E14" t="s">
        <v>136</v>
      </c>
      <c r="J14">
        <f>J12-J13</f>
        <v>21</v>
      </c>
      <c r="N14" t="s">
        <v>53</v>
      </c>
      <c r="O14">
        <v>35</v>
      </c>
    </row>
    <row r="15" spans="1:16" x14ac:dyDescent="0.25">
      <c r="A15" t="s">
        <v>137</v>
      </c>
      <c r="B15" t="s">
        <v>138</v>
      </c>
      <c r="C15" t="s">
        <v>24</v>
      </c>
      <c r="D15" t="s">
        <v>139</v>
      </c>
      <c r="E15" t="s">
        <v>26</v>
      </c>
      <c r="N15" t="s">
        <v>49</v>
      </c>
      <c r="O15">
        <v>1</v>
      </c>
    </row>
    <row r="16" spans="1:16" x14ac:dyDescent="0.25">
      <c r="A16" t="s">
        <v>87</v>
      </c>
      <c r="B16" t="s">
        <v>140</v>
      </c>
      <c r="C16" t="s">
        <v>29</v>
      </c>
      <c r="D16" t="s">
        <v>141</v>
      </c>
      <c r="E16" t="s">
        <v>142</v>
      </c>
      <c r="N16" t="s">
        <v>51</v>
      </c>
      <c r="O16">
        <v>10</v>
      </c>
    </row>
    <row r="17" spans="1:15" x14ac:dyDescent="0.25">
      <c r="A17" t="s">
        <v>143</v>
      </c>
      <c r="B17" t="s">
        <v>144</v>
      </c>
      <c r="C17" t="s">
        <v>34</v>
      </c>
      <c r="D17" t="s">
        <v>145</v>
      </c>
      <c r="E17" t="s">
        <v>36</v>
      </c>
      <c r="N17" s="5" t="s">
        <v>50</v>
      </c>
      <c r="O17" s="5">
        <f>(((O12*100)-O14)/O16)+O15</f>
        <v>4.0600000000000005</v>
      </c>
    </row>
    <row r="18" spans="1:15" x14ac:dyDescent="0.25">
      <c r="A18" s="2">
        <v>0.33</v>
      </c>
      <c r="B18" s="2">
        <v>0.28999999999999998</v>
      </c>
      <c r="C18" t="s">
        <v>37</v>
      </c>
      <c r="D18" s="2">
        <v>0.31</v>
      </c>
      <c r="E18" s="2">
        <v>0.38</v>
      </c>
    </row>
    <row r="19" spans="1:15" x14ac:dyDescent="0.25">
      <c r="A19" s="2">
        <v>0.22</v>
      </c>
      <c r="B19" s="2">
        <v>0.18</v>
      </c>
      <c r="C19" t="s">
        <v>38</v>
      </c>
      <c r="D19" s="2">
        <v>0.06</v>
      </c>
      <c r="E19" s="2">
        <v>0</v>
      </c>
    </row>
    <row r="20" spans="1:15" x14ac:dyDescent="0.25">
      <c r="A20" s="2">
        <v>0.33</v>
      </c>
      <c r="B20" s="2">
        <v>0.47</v>
      </c>
      <c r="C20" t="s">
        <v>39</v>
      </c>
      <c r="D20" s="2">
        <v>0.62</v>
      </c>
      <c r="E20" s="2">
        <v>0.5</v>
      </c>
    </row>
    <row r="21" spans="1:15" x14ac:dyDescent="0.25">
      <c r="A21" s="2">
        <v>0.67</v>
      </c>
      <c r="B21" s="2">
        <v>0.53</v>
      </c>
      <c r="C21" t="s">
        <v>40</v>
      </c>
      <c r="D21" s="2">
        <v>0.19</v>
      </c>
      <c r="E21" s="2">
        <v>0.12</v>
      </c>
    </row>
    <row r="22" spans="1:15" x14ac:dyDescent="0.25">
      <c r="A22" s="2">
        <v>0.22</v>
      </c>
      <c r="B22" s="2">
        <v>0.18</v>
      </c>
      <c r="C22" t="s">
        <v>41</v>
      </c>
      <c r="D22" s="2">
        <v>0.25</v>
      </c>
      <c r="E22" s="2">
        <v>0.5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P22"/>
  <sheetViews>
    <sheetView workbookViewId="0">
      <selection activeCell="O16" sqref="O16"/>
    </sheetView>
  </sheetViews>
  <sheetFormatPr baseColWidth="10" defaultRowHeight="15" x14ac:dyDescent="0.25"/>
  <cols>
    <col min="1" max="1" width="8.85546875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146</v>
      </c>
      <c r="B1" s="1">
        <v>42204</v>
      </c>
      <c r="C1" t="s">
        <v>148</v>
      </c>
    </row>
    <row r="2" spans="1:16" x14ac:dyDescent="0.25">
      <c r="A2" t="s">
        <v>147</v>
      </c>
      <c r="C2" t="s">
        <v>149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0.67</v>
      </c>
      <c r="C6">
        <v>6</v>
      </c>
      <c r="D6">
        <v>9</v>
      </c>
      <c r="E6" t="s">
        <v>8</v>
      </c>
      <c r="F6">
        <v>10</v>
      </c>
      <c r="G6">
        <v>3</v>
      </c>
      <c r="H6" s="2">
        <v>0.3</v>
      </c>
      <c r="J6" s="2">
        <f>A6+H8</f>
        <v>1.17</v>
      </c>
      <c r="K6">
        <f>J6/2</f>
        <v>0.58499999999999996</v>
      </c>
      <c r="M6">
        <v>0.57199999999999995</v>
      </c>
      <c r="N6">
        <f>M6+K6</f>
        <v>1.157</v>
      </c>
      <c r="O6" s="4">
        <f>N6/2</f>
        <v>0.57850000000000001</v>
      </c>
      <c r="P6" s="4" t="s">
        <v>42</v>
      </c>
    </row>
    <row r="7" spans="1:16" x14ac:dyDescent="0.25">
      <c r="A7" s="2">
        <v>0.22</v>
      </c>
      <c r="C7">
        <v>2</v>
      </c>
      <c r="D7">
        <v>5</v>
      </c>
      <c r="E7" t="s">
        <v>9</v>
      </c>
      <c r="F7">
        <v>5</v>
      </c>
      <c r="G7">
        <v>2</v>
      </c>
      <c r="H7" s="2">
        <v>0.2</v>
      </c>
      <c r="J7" s="2">
        <f>A7+H7</f>
        <v>0.42000000000000004</v>
      </c>
      <c r="K7">
        <f t="shared" ref="K7:K8" si="0">J7/2</f>
        <v>0.21000000000000002</v>
      </c>
      <c r="M7">
        <v>0.312</v>
      </c>
      <c r="N7">
        <f t="shared" ref="N7:N8" si="1">M7+K7</f>
        <v>0.52200000000000002</v>
      </c>
      <c r="O7" s="4">
        <f t="shared" ref="O7:O8" si="2">N7/2</f>
        <v>0.26100000000000001</v>
      </c>
      <c r="P7" s="4" t="s">
        <v>48</v>
      </c>
    </row>
    <row r="8" spans="1:16" x14ac:dyDescent="0.25">
      <c r="A8" s="2">
        <v>0.11</v>
      </c>
      <c r="C8">
        <v>1</v>
      </c>
      <c r="D8">
        <v>5</v>
      </c>
      <c r="E8" t="s">
        <v>10</v>
      </c>
      <c r="F8">
        <v>6</v>
      </c>
      <c r="G8">
        <v>5</v>
      </c>
      <c r="H8" s="2">
        <v>0.5</v>
      </c>
      <c r="J8" s="2">
        <f>A8+H6</f>
        <v>0.41</v>
      </c>
      <c r="K8">
        <f t="shared" si="0"/>
        <v>0.20499999999999999</v>
      </c>
      <c r="M8">
        <v>0.11600000000000001</v>
      </c>
      <c r="N8">
        <f t="shared" si="1"/>
        <v>0.32100000000000001</v>
      </c>
      <c r="O8" s="4">
        <f t="shared" si="2"/>
        <v>0.1605</v>
      </c>
      <c r="P8" s="4" t="s">
        <v>43</v>
      </c>
    </row>
    <row r="9" spans="1:16" x14ac:dyDescent="0.25">
      <c r="A9">
        <v>9</v>
      </c>
      <c r="D9">
        <v>19</v>
      </c>
      <c r="E9" t="s">
        <v>5</v>
      </c>
      <c r="F9">
        <v>21</v>
      </c>
      <c r="G9">
        <v>10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14</v>
      </c>
      <c r="B12">
        <v>26</v>
      </c>
      <c r="C12" t="s">
        <v>15</v>
      </c>
      <c r="D12">
        <v>23</v>
      </c>
      <c r="E12">
        <v>5</v>
      </c>
      <c r="I12" t="s">
        <v>42</v>
      </c>
      <c r="J12">
        <f>A12-A13</f>
        <v>6</v>
      </c>
      <c r="N12" s="5"/>
      <c r="O12" s="5">
        <f>MAX(O6:O8)</f>
        <v>0.57850000000000001</v>
      </c>
      <c r="P12" s="5" t="str">
        <f>VLOOKUP(O12,O6:P8,2,FALSE)</f>
        <v>L</v>
      </c>
    </row>
    <row r="13" spans="1:16" x14ac:dyDescent="0.25">
      <c r="A13">
        <v>8</v>
      </c>
      <c r="B13">
        <v>23</v>
      </c>
      <c r="C13" t="s">
        <v>16</v>
      </c>
      <c r="D13">
        <v>18</v>
      </c>
      <c r="E13">
        <v>8</v>
      </c>
      <c r="I13" t="s">
        <v>43</v>
      </c>
      <c r="J13">
        <f>E12-E13</f>
        <v>-3</v>
      </c>
    </row>
    <row r="14" spans="1:16" x14ac:dyDescent="0.25">
      <c r="A14" t="s">
        <v>150</v>
      </c>
      <c r="B14" t="s">
        <v>151</v>
      </c>
      <c r="C14" t="s">
        <v>19</v>
      </c>
      <c r="D14" t="s">
        <v>63</v>
      </c>
      <c r="E14" t="s">
        <v>152</v>
      </c>
      <c r="J14">
        <f>J12-J13</f>
        <v>9</v>
      </c>
      <c r="N14" t="s">
        <v>53</v>
      </c>
      <c r="O14">
        <v>35</v>
      </c>
    </row>
    <row r="15" spans="1:16" x14ac:dyDescent="0.25">
      <c r="A15" t="s">
        <v>153</v>
      </c>
      <c r="B15" t="s">
        <v>100</v>
      </c>
      <c r="C15" t="s">
        <v>24</v>
      </c>
      <c r="D15" t="s">
        <v>154</v>
      </c>
      <c r="E15" t="s">
        <v>155</v>
      </c>
      <c r="N15" t="s">
        <v>49</v>
      </c>
      <c r="O15">
        <v>1</v>
      </c>
    </row>
    <row r="16" spans="1:16" x14ac:dyDescent="0.25">
      <c r="A16" t="s">
        <v>156</v>
      </c>
      <c r="B16" t="s">
        <v>157</v>
      </c>
      <c r="C16" t="s">
        <v>29</v>
      </c>
      <c r="D16" t="s">
        <v>158</v>
      </c>
      <c r="E16" t="s">
        <v>159</v>
      </c>
      <c r="N16" t="s">
        <v>51</v>
      </c>
      <c r="O16">
        <v>10</v>
      </c>
    </row>
    <row r="17" spans="1:15" x14ac:dyDescent="0.25">
      <c r="A17" t="s">
        <v>160</v>
      </c>
      <c r="B17" t="s">
        <v>161</v>
      </c>
      <c r="C17" t="s">
        <v>34</v>
      </c>
      <c r="D17" t="s">
        <v>162</v>
      </c>
      <c r="E17" t="s">
        <v>163</v>
      </c>
      <c r="N17" s="5" t="s">
        <v>50</v>
      </c>
      <c r="O17" s="5">
        <f>(((O12*100)-O14)/O16)+O15</f>
        <v>3.2850000000000001</v>
      </c>
    </row>
    <row r="18" spans="1:15" x14ac:dyDescent="0.25">
      <c r="A18" s="2">
        <v>0.33</v>
      </c>
      <c r="B18" s="2">
        <v>0.32</v>
      </c>
      <c r="C18" t="s">
        <v>37</v>
      </c>
      <c r="D18" s="2">
        <v>0.1</v>
      </c>
      <c r="E18" s="2">
        <v>0</v>
      </c>
    </row>
    <row r="19" spans="1:15" x14ac:dyDescent="0.25">
      <c r="A19" s="2">
        <v>0.11</v>
      </c>
      <c r="B19" s="2">
        <v>0.11</v>
      </c>
      <c r="C19" t="s">
        <v>38</v>
      </c>
      <c r="D19" s="2">
        <v>0</v>
      </c>
      <c r="E19" s="2">
        <v>0</v>
      </c>
    </row>
    <row r="20" spans="1:15" x14ac:dyDescent="0.25">
      <c r="A20" s="2">
        <v>0.33</v>
      </c>
      <c r="B20" s="2">
        <v>0.42</v>
      </c>
      <c r="C20" t="s">
        <v>39</v>
      </c>
      <c r="D20" s="2">
        <v>0.48</v>
      </c>
      <c r="E20" s="2">
        <v>0.2</v>
      </c>
    </row>
    <row r="21" spans="1:15" x14ac:dyDescent="0.25">
      <c r="A21" s="2">
        <v>0.56000000000000005</v>
      </c>
      <c r="B21" s="2">
        <v>0.42</v>
      </c>
      <c r="C21" t="s">
        <v>40</v>
      </c>
      <c r="D21" s="2">
        <v>0.28999999999999998</v>
      </c>
      <c r="E21" s="2">
        <v>0.3</v>
      </c>
    </row>
    <row r="22" spans="1:15" x14ac:dyDescent="0.25">
      <c r="A22" s="2">
        <v>0.33</v>
      </c>
      <c r="B22" s="2">
        <v>0.32</v>
      </c>
      <c r="C22" t="s">
        <v>41</v>
      </c>
      <c r="D22" s="2">
        <v>0.28999999999999998</v>
      </c>
      <c r="E22" s="2">
        <v>0.6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P22"/>
  <sheetViews>
    <sheetView workbookViewId="0">
      <selection sqref="A1:C1"/>
    </sheetView>
  </sheetViews>
  <sheetFormatPr baseColWidth="10" defaultRowHeight="15" x14ac:dyDescent="0.25"/>
  <cols>
    <col min="1" max="1" width="13" bestFit="1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164</v>
      </c>
      <c r="B1" s="1">
        <v>42204</v>
      </c>
      <c r="C1" t="s">
        <v>166</v>
      </c>
    </row>
    <row r="2" spans="1:16" x14ac:dyDescent="0.25">
      <c r="A2" t="s">
        <v>165</v>
      </c>
      <c r="C2" t="s">
        <v>167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0.3</v>
      </c>
      <c r="C6">
        <v>3</v>
      </c>
      <c r="D6">
        <v>5</v>
      </c>
      <c r="E6" t="s">
        <v>8</v>
      </c>
      <c r="F6">
        <v>6</v>
      </c>
      <c r="G6">
        <v>2</v>
      </c>
      <c r="H6" s="2">
        <v>0.22</v>
      </c>
      <c r="J6" s="2">
        <f>A6+H8</f>
        <v>0.74</v>
      </c>
      <c r="K6">
        <f>J6/2</f>
        <v>0.37</v>
      </c>
      <c r="M6">
        <v>0.48399999999999999</v>
      </c>
      <c r="N6">
        <f>M6+K6</f>
        <v>0.85399999999999998</v>
      </c>
      <c r="O6" s="4">
        <f>N6/2</f>
        <v>0.42699999999999999</v>
      </c>
      <c r="P6" s="4" t="s">
        <v>42</v>
      </c>
    </row>
    <row r="7" spans="1:16" x14ac:dyDescent="0.25">
      <c r="A7" s="2">
        <v>0.6</v>
      </c>
      <c r="C7">
        <v>6</v>
      </c>
      <c r="D7">
        <v>8</v>
      </c>
      <c r="E7" t="s">
        <v>9</v>
      </c>
      <c r="F7">
        <v>6</v>
      </c>
      <c r="G7">
        <v>3</v>
      </c>
      <c r="H7" s="2">
        <v>0.33</v>
      </c>
      <c r="J7" s="2">
        <f>A7+H7</f>
        <v>0.92999999999999994</v>
      </c>
      <c r="K7">
        <f t="shared" ref="K7:K8" si="0">J7/2</f>
        <v>0.46499999999999997</v>
      </c>
      <c r="M7">
        <v>0.27200000000000002</v>
      </c>
      <c r="N7">
        <f t="shared" ref="N7:N8" si="1">M7+K7</f>
        <v>0.73699999999999999</v>
      </c>
      <c r="O7" s="4">
        <f t="shared" ref="O7:O8" si="2">N7/2</f>
        <v>0.36849999999999999</v>
      </c>
      <c r="P7" s="4" t="s">
        <v>48</v>
      </c>
    </row>
    <row r="8" spans="1:16" x14ac:dyDescent="0.25">
      <c r="A8" s="2">
        <v>0.1</v>
      </c>
      <c r="C8">
        <v>1</v>
      </c>
      <c r="D8">
        <v>7</v>
      </c>
      <c r="E8" t="s">
        <v>10</v>
      </c>
      <c r="F8">
        <v>7</v>
      </c>
      <c r="G8">
        <v>4</v>
      </c>
      <c r="H8" s="2">
        <v>0.44</v>
      </c>
      <c r="J8" s="2">
        <f>A8+H6</f>
        <v>0.32</v>
      </c>
      <c r="K8">
        <f t="shared" si="0"/>
        <v>0.16</v>
      </c>
      <c r="M8">
        <v>0.24399999999999999</v>
      </c>
      <c r="N8">
        <f t="shared" si="1"/>
        <v>0.40400000000000003</v>
      </c>
      <c r="O8" s="4">
        <f t="shared" si="2"/>
        <v>0.20200000000000001</v>
      </c>
      <c r="P8" s="4" t="s">
        <v>43</v>
      </c>
    </row>
    <row r="9" spans="1:16" x14ac:dyDescent="0.25">
      <c r="A9">
        <v>10</v>
      </c>
      <c r="D9">
        <v>20</v>
      </c>
      <c r="E9" t="s">
        <v>5</v>
      </c>
      <c r="F9">
        <v>19</v>
      </c>
      <c r="G9">
        <v>9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13</v>
      </c>
      <c r="B12">
        <v>19</v>
      </c>
      <c r="C12" t="s">
        <v>15</v>
      </c>
      <c r="D12">
        <v>24</v>
      </c>
      <c r="E12">
        <v>7</v>
      </c>
      <c r="I12" t="s">
        <v>42</v>
      </c>
      <c r="J12">
        <f>A12-A13</f>
        <v>3</v>
      </c>
      <c r="N12" s="5"/>
      <c r="O12" s="5">
        <f>MAX(O6:O8)</f>
        <v>0.42699999999999999</v>
      </c>
      <c r="P12" s="5" t="str">
        <f>VLOOKUP(O12,O6:P8,2,FALSE)</f>
        <v>L</v>
      </c>
    </row>
    <row r="13" spans="1:16" x14ac:dyDescent="0.25">
      <c r="A13">
        <v>10</v>
      </c>
      <c r="B13">
        <v>26</v>
      </c>
      <c r="C13" t="s">
        <v>16</v>
      </c>
      <c r="D13">
        <v>24</v>
      </c>
      <c r="E13">
        <v>10</v>
      </c>
      <c r="I13" t="s">
        <v>43</v>
      </c>
      <c r="J13">
        <f>E12-E13</f>
        <v>-3</v>
      </c>
    </row>
    <row r="14" spans="1:16" x14ac:dyDescent="0.25">
      <c r="A14" t="s">
        <v>168</v>
      </c>
      <c r="B14" t="s">
        <v>169</v>
      </c>
      <c r="C14" t="s">
        <v>19</v>
      </c>
      <c r="D14" t="s">
        <v>103</v>
      </c>
      <c r="E14" t="s">
        <v>170</v>
      </c>
      <c r="J14">
        <f>J12-J13</f>
        <v>6</v>
      </c>
      <c r="N14" t="s">
        <v>53</v>
      </c>
      <c r="O14">
        <v>35</v>
      </c>
    </row>
    <row r="15" spans="1:16" x14ac:dyDescent="0.25">
      <c r="A15" t="s">
        <v>83</v>
      </c>
      <c r="B15" t="s">
        <v>171</v>
      </c>
      <c r="C15" t="s">
        <v>24</v>
      </c>
      <c r="D15" t="s">
        <v>103</v>
      </c>
      <c r="E15" t="s">
        <v>123</v>
      </c>
      <c r="N15" t="s">
        <v>49</v>
      </c>
      <c r="O15">
        <v>1</v>
      </c>
    </row>
    <row r="16" spans="1:16" x14ac:dyDescent="0.25">
      <c r="A16" t="s">
        <v>106</v>
      </c>
      <c r="B16" t="s">
        <v>172</v>
      </c>
      <c r="C16" t="s">
        <v>29</v>
      </c>
      <c r="D16" t="s">
        <v>173</v>
      </c>
      <c r="E16" t="s">
        <v>174</v>
      </c>
      <c r="N16" t="s">
        <v>51</v>
      </c>
      <c r="O16">
        <v>10</v>
      </c>
    </row>
    <row r="17" spans="1:15" x14ac:dyDescent="0.25">
      <c r="A17" t="s">
        <v>175</v>
      </c>
      <c r="B17" t="s">
        <v>176</v>
      </c>
      <c r="C17" t="s">
        <v>34</v>
      </c>
      <c r="D17" t="s">
        <v>177</v>
      </c>
      <c r="E17" t="s">
        <v>178</v>
      </c>
      <c r="N17" s="5" t="s">
        <v>50</v>
      </c>
      <c r="O17" s="5">
        <f>(((O12*100)-O14)/O16)+O15</f>
        <v>1.7699999999999996</v>
      </c>
    </row>
    <row r="18" spans="1:15" x14ac:dyDescent="0.25">
      <c r="A18" s="2">
        <v>0.2</v>
      </c>
      <c r="B18" s="2">
        <v>0.25</v>
      </c>
      <c r="C18" t="s">
        <v>37</v>
      </c>
      <c r="D18" s="2">
        <v>0.21</v>
      </c>
      <c r="E18" s="2">
        <v>0</v>
      </c>
    </row>
    <row r="19" spans="1:15" x14ac:dyDescent="0.25">
      <c r="A19" s="2">
        <v>0.1</v>
      </c>
      <c r="B19" s="2">
        <v>0.1</v>
      </c>
      <c r="C19" t="s">
        <v>38</v>
      </c>
      <c r="D19" s="2">
        <v>0.16</v>
      </c>
      <c r="E19" s="2">
        <v>0</v>
      </c>
    </row>
    <row r="20" spans="1:15" x14ac:dyDescent="0.25">
      <c r="A20" s="2">
        <v>0.6</v>
      </c>
      <c r="B20" s="2">
        <v>0.5</v>
      </c>
      <c r="C20" t="s">
        <v>39</v>
      </c>
      <c r="D20" s="2">
        <v>0.47</v>
      </c>
      <c r="E20" s="2">
        <v>0.44</v>
      </c>
    </row>
    <row r="21" spans="1:15" x14ac:dyDescent="0.25">
      <c r="A21" s="2">
        <v>0.3</v>
      </c>
      <c r="B21" s="2">
        <v>0.3</v>
      </c>
      <c r="C21" t="s">
        <v>40</v>
      </c>
      <c r="D21" s="2">
        <v>0.21</v>
      </c>
      <c r="E21" s="2">
        <v>0.11</v>
      </c>
    </row>
    <row r="22" spans="1:15" x14ac:dyDescent="0.25">
      <c r="A22" s="2">
        <v>0.3</v>
      </c>
      <c r="B22" s="2">
        <v>0.4</v>
      </c>
      <c r="C22" t="s">
        <v>41</v>
      </c>
      <c r="D22" s="2">
        <v>0.37</v>
      </c>
      <c r="E22" s="2">
        <v>0.44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P22"/>
  <sheetViews>
    <sheetView workbookViewId="0">
      <selection activeCell="O16" sqref="O16"/>
    </sheetView>
  </sheetViews>
  <sheetFormatPr baseColWidth="10" defaultRowHeight="15" x14ac:dyDescent="0.25"/>
  <cols>
    <col min="1" max="1" width="7.7109375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179</v>
      </c>
      <c r="B1" s="1">
        <v>42204</v>
      </c>
      <c r="C1" t="s">
        <v>181</v>
      </c>
    </row>
    <row r="2" spans="1:16" x14ac:dyDescent="0.25">
      <c r="A2" t="s">
        <v>180</v>
      </c>
      <c r="C2" t="s">
        <v>182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0.7</v>
      </c>
      <c r="C6">
        <v>7</v>
      </c>
      <c r="D6">
        <v>10</v>
      </c>
      <c r="E6" t="s">
        <v>8</v>
      </c>
      <c r="F6">
        <v>4</v>
      </c>
      <c r="G6">
        <v>1</v>
      </c>
      <c r="H6" s="2">
        <v>0.11</v>
      </c>
      <c r="J6" s="2">
        <f>A6+H8</f>
        <v>1.03</v>
      </c>
      <c r="K6">
        <f>J6/2</f>
        <v>0.51500000000000001</v>
      </c>
      <c r="M6">
        <v>0.57199999999999995</v>
      </c>
      <c r="N6">
        <f>M6+K6</f>
        <v>1.087</v>
      </c>
      <c r="O6" s="4">
        <f>N6/2</f>
        <v>0.54349999999999998</v>
      </c>
      <c r="P6" s="4" t="s">
        <v>42</v>
      </c>
    </row>
    <row r="7" spans="1:16" x14ac:dyDescent="0.25">
      <c r="A7" s="2">
        <v>0.1</v>
      </c>
      <c r="C7">
        <v>1</v>
      </c>
      <c r="D7">
        <v>2</v>
      </c>
      <c r="E7" t="s">
        <v>9</v>
      </c>
      <c r="F7">
        <v>9</v>
      </c>
      <c r="G7">
        <v>5</v>
      </c>
      <c r="H7" s="2">
        <v>0.56000000000000005</v>
      </c>
      <c r="J7" s="2">
        <f>A7+H7</f>
        <v>0.66</v>
      </c>
      <c r="K7">
        <f t="shared" ref="K7:K8" si="0">J7/2</f>
        <v>0.33</v>
      </c>
      <c r="M7">
        <v>0.312</v>
      </c>
      <c r="N7">
        <f t="shared" ref="N7:N8" si="1">M7+K7</f>
        <v>0.64200000000000002</v>
      </c>
      <c r="O7" s="4">
        <f t="shared" ref="O7:O8" si="2">N7/2</f>
        <v>0.32100000000000001</v>
      </c>
      <c r="P7" s="4" t="s">
        <v>48</v>
      </c>
    </row>
    <row r="8" spans="1:16" x14ac:dyDescent="0.25">
      <c r="A8" s="2">
        <v>0.2</v>
      </c>
      <c r="C8">
        <v>2</v>
      </c>
      <c r="D8">
        <v>8</v>
      </c>
      <c r="E8" t="s">
        <v>10</v>
      </c>
      <c r="F8">
        <v>6</v>
      </c>
      <c r="G8">
        <v>3</v>
      </c>
      <c r="H8" s="2">
        <v>0.33</v>
      </c>
      <c r="J8" s="2">
        <f>A8+H6</f>
        <v>0.31</v>
      </c>
      <c r="K8">
        <f t="shared" si="0"/>
        <v>0.155</v>
      </c>
      <c r="M8">
        <v>0.11600000000000001</v>
      </c>
      <c r="N8">
        <f t="shared" si="1"/>
        <v>0.27100000000000002</v>
      </c>
      <c r="O8" s="4">
        <f t="shared" si="2"/>
        <v>0.13550000000000001</v>
      </c>
      <c r="P8" s="4" t="s">
        <v>43</v>
      </c>
    </row>
    <row r="9" spans="1:16" x14ac:dyDescent="0.25">
      <c r="A9">
        <v>10</v>
      </c>
      <c r="D9">
        <v>20</v>
      </c>
      <c r="E9" t="s">
        <v>5</v>
      </c>
      <c r="F9">
        <v>19</v>
      </c>
      <c r="G9">
        <v>9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14</v>
      </c>
      <c r="B12">
        <v>25</v>
      </c>
      <c r="C12" t="s">
        <v>15</v>
      </c>
      <c r="D12">
        <v>17</v>
      </c>
      <c r="E12">
        <v>6</v>
      </c>
      <c r="I12" t="s">
        <v>42</v>
      </c>
      <c r="J12">
        <f>A12-A13</f>
        <v>8</v>
      </c>
      <c r="N12" s="5"/>
      <c r="O12" s="5">
        <f>MAX(O6:O8)</f>
        <v>0.54349999999999998</v>
      </c>
      <c r="P12" s="5" t="str">
        <f>VLOOKUP(O12,O6:P8,2,FALSE)</f>
        <v>L</v>
      </c>
    </row>
    <row r="13" spans="1:16" x14ac:dyDescent="0.25">
      <c r="A13">
        <v>6</v>
      </c>
      <c r="B13">
        <v>19</v>
      </c>
      <c r="C13" t="s">
        <v>16</v>
      </c>
      <c r="D13">
        <v>19</v>
      </c>
      <c r="E13">
        <v>7</v>
      </c>
      <c r="I13" t="s">
        <v>43</v>
      </c>
      <c r="J13">
        <f>E12-E13</f>
        <v>-1</v>
      </c>
    </row>
    <row r="14" spans="1:16" x14ac:dyDescent="0.25">
      <c r="A14" t="s">
        <v>183</v>
      </c>
      <c r="B14" t="s">
        <v>81</v>
      </c>
      <c r="C14" t="s">
        <v>19</v>
      </c>
      <c r="D14" t="s">
        <v>184</v>
      </c>
      <c r="E14" t="s">
        <v>185</v>
      </c>
      <c r="J14">
        <f>J12-J13</f>
        <v>9</v>
      </c>
      <c r="N14" t="s">
        <v>53</v>
      </c>
      <c r="O14">
        <v>35</v>
      </c>
    </row>
    <row r="15" spans="1:16" x14ac:dyDescent="0.25">
      <c r="A15" t="s">
        <v>186</v>
      </c>
      <c r="B15" t="s">
        <v>169</v>
      </c>
      <c r="C15" t="s">
        <v>24</v>
      </c>
      <c r="D15" t="s">
        <v>138</v>
      </c>
      <c r="E15" t="s">
        <v>187</v>
      </c>
      <c r="N15" t="s">
        <v>49</v>
      </c>
      <c r="O15">
        <v>1</v>
      </c>
    </row>
    <row r="16" spans="1:16" x14ac:dyDescent="0.25">
      <c r="A16" t="s">
        <v>188</v>
      </c>
      <c r="B16" t="s">
        <v>189</v>
      </c>
      <c r="C16" t="s">
        <v>29</v>
      </c>
      <c r="D16" t="s">
        <v>190</v>
      </c>
      <c r="E16" t="s">
        <v>191</v>
      </c>
      <c r="N16" t="s">
        <v>51</v>
      </c>
      <c r="O16">
        <v>10</v>
      </c>
    </row>
    <row r="17" spans="1:15" x14ac:dyDescent="0.25">
      <c r="A17" t="s">
        <v>175</v>
      </c>
      <c r="B17" t="s">
        <v>192</v>
      </c>
      <c r="C17" t="s">
        <v>34</v>
      </c>
      <c r="D17" t="s">
        <v>193</v>
      </c>
      <c r="E17" t="s">
        <v>178</v>
      </c>
      <c r="N17" s="5" t="s">
        <v>50</v>
      </c>
      <c r="O17" s="5">
        <f>(((O12*100)-O14)/O16)+O15</f>
        <v>2.9350000000000001</v>
      </c>
    </row>
    <row r="18" spans="1:15" x14ac:dyDescent="0.25">
      <c r="A18" s="2">
        <v>0.1</v>
      </c>
      <c r="B18" s="2">
        <v>0.25</v>
      </c>
      <c r="C18" t="s">
        <v>37</v>
      </c>
      <c r="D18" s="2">
        <v>0.16</v>
      </c>
      <c r="E18" s="2">
        <v>0.11</v>
      </c>
    </row>
    <row r="19" spans="1:15" x14ac:dyDescent="0.25">
      <c r="A19" s="2">
        <v>0.1</v>
      </c>
      <c r="B19" s="2">
        <v>0.15</v>
      </c>
      <c r="C19" t="s">
        <v>38</v>
      </c>
      <c r="D19" s="2">
        <v>0</v>
      </c>
      <c r="E19" s="2">
        <v>0</v>
      </c>
    </row>
    <row r="20" spans="1:15" x14ac:dyDescent="0.25">
      <c r="A20" s="2">
        <v>0.2</v>
      </c>
      <c r="B20" s="2">
        <v>0.3</v>
      </c>
      <c r="C20" t="s">
        <v>39</v>
      </c>
      <c r="D20" s="2">
        <v>0.47</v>
      </c>
      <c r="E20" s="2">
        <v>0.22</v>
      </c>
    </row>
    <row r="21" spans="1:15" x14ac:dyDescent="0.25">
      <c r="A21" s="2">
        <v>0.7</v>
      </c>
      <c r="B21" s="2">
        <v>0.45</v>
      </c>
      <c r="C21" t="s">
        <v>40</v>
      </c>
      <c r="D21" s="2">
        <v>0.32</v>
      </c>
      <c r="E21" s="2">
        <v>0.44</v>
      </c>
    </row>
    <row r="22" spans="1:15" x14ac:dyDescent="0.25">
      <c r="A22" s="2">
        <v>0.2</v>
      </c>
      <c r="B22" s="2">
        <v>0.35</v>
      </c>
      <c r="C22" t="s">
        <v>41</v>
      </c>
      <c r="D22" s="2">
        <v>0.42</v>
      </c>
      <c r="E22" s="2">
        <v>0.67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2"/>
  <sheetViews>
    <sheetView workbookViewId="0">
      <selection activeCell="O16" sqref="O16"/>
    </sheetView>
  </sheetViews>
  <sheetFormatPr baseColWidth="10" defaultRowHeight="15" x14ac:dyDescent="0.25"/>
  <cols>
    <col min="1" max="1" width="8.5703125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194</v>
      </c>
      <c r="B1" s="1">
        <v>42204</v>
      </c>
      <c r="C1" t="s">
        <v>195</v>
      </c>
    </row>
    <row r="2" spans="1:16" x14ac:dyDescent="0.25">
      <c r="A2" t="s">
        <v>1</v>
      </c>
      <c r="C2" t="s">
        <v>196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0.6</v>
      </c>
      <c r="C6">
        <v>6</v>
      </c>
      <c r="D6">
        <v>9</v>
      </c>
      <c r="E6" t="s">
        <v>8</v>
      </c>
      <c r="F6">
        <v>10</v>
      </c>
      <c r="G6">
        <v>6</v>
      </c>
      <c r="H6" s="2">
        <v>0.55000000000000004</v>
      </c>
      <c r="J6" s="2">
        <f>A6+H8</f>
        <v>0.96</v>
      </c>
      <c r="K6">
        <f>J6/2</f>
        <v>0.48</v>
      </c>
      <c r="M6">
        <v>0.56599999999999995</v>
      </c>
      <c r="N6">
        <f>M6+K6</f>
        <v>1.0459999999999998</v>
      </c>
      <c r="O6" s="4">
        <f>N6/2</f>
        <v>0.52299999999999991</v>
      </c>
      <c r="P6" s="4" t="s">
        <v>42</v>
      </c>
    </row>
    <row r="7" spans="1:16" x14ac:dyDescent="0.25">
      <c r="A7" s="2">
        <v>0.3</v>
      </c>
      <c r="C7">
        <v>3</v>
      </c>
      <c r="D7">
        <v>4</v>
      </c>
      <c r="E7" t="s">
        <v>9</v>
      </c>
      <c r="F7">
        <v>2</v>
      </c>
      <c r="G7">
        <v>1</v>
      </c>
      <c r="H7" s="2">
        <v>0.09</v>
      </c>
      <c r="J7" s="2">
        <f>A7+H7</f>
        <v>0.39</v>
      </c>
      <c r="K7">
        <f t="shared" ref="K7:K8" si="0">J7/2</f>
        <v>0.19500000000000001</v>
      </c>
      <c r="M7">
        <v>0.23499999999999999</v>
      </c>
      <c r="N7">
        <f t="shared" ref="N7:N8" si="1">M7+K7</f>
        <v>0.43</v>
      </c>
      <c r="O7" s="4">
        <f t="shared" ref="O7:O8" si="2">N7/2</f>
        <v>0.215</v>
      </c>
      <c r="P7" s="4" t="s">
        <v>48</v>
      </c>
    </row>
    <row r="8" spans="1:16" x14ac:dyDescent="0.25">
      <c r="A8" s="2">
        <v>0.1</v>
      </c>
      <c r="C8">
        <v>1</v>
      </c>
      <c r="D8">
        <v>7</v>
      </c>
      <c r="E8" t="s">
        <v>10</v>
      </c>
      <c r="F8">
        <v>8</v>
      </c>
      <c r="G8">
        <v>4</v>
      </c>
      <c r="H8" s="2">
        <v>0.36</v>
      </c>
      <c r="J8" s="2">
        <f>A8+H6</f>
        <v>0.65</v>
      </c>
      <c r="K8">
        <f t="shared" si="0"/>
        <v>0.32500000000000001</v>
      </c>
      <c r="M8">
        <v>0.19900000000000001</v>
      </c>
      <c r="N8">
        <f t="shared" si="1"/>
        <v>0.52400000000000002</v>
      </c>
      <c r="O8" s="4">
        <f t="shared" si="2"/>
        <v>0.26200000000000001</v>
      </c>
      <c r="P8" s="4" t="s">
        <v>43</v>
      </c>
    </row>
    <row r="9" spans="1:16" x14ac:dyDescent="0.25">
      <c r="A9">
        <v>10</v>
      </c>
      <c r="D9">
        <v>20</v>
      </c>
      <c r="E9" t="s">
        <v>5</v>
      </c>
      <c r="F9">
        <v>20</v>
      </c>
      <c r="G9">
        <v>11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15</v>
      </c>
      <c r="B12">
        <v>22</v>
      </c>
      <c r="C12" t="s">
        <v>15</v>
      </c>
      <c r="D12">
        <v>23</v>
      </c>
      <c r="E12">
        <v>10</v>
      </c>
      <c r="I12" t="s">
        <v>42</v>
      </c>
      <c r="J12">
        <f>A12-A13</f>
        <v>9</v>
      </c>
      <c r="N12" s="5"/>
      <c r="O12" s="5">
        <f>MAX(O6:O8)</f>
        <v>0.52299999999999991</v>
      </c>
      <c r="P12" s="5" t="str">
        <f>VLOOKUP(O12,O6:P8,2,FALSE)</f>
        <v>L</v>
      </c>
    </row>
    <row r="13" spans="1:16" x14ac:dyDescent="0.25">
      <c r="A13">
        <v>6</v>
      </c>
      <c r="B13">
        <v>23</v>
      </c>
      <c r="C13" t="s">
        <v>16</v>
      </c>
      <c r="D13">
        <v>20</v>
      </c>
      <c r="E13">
        <v>8</v>
      </c>
      <c r="I13" t="s">
        <v>43</v>
      </c>
      <c r="J13">
        <f>E12-E13</f>
        <v>2</v>
      </c>
    </row>
    <row r="14" spans="1:16" x14ac:dyDescent="0.25">
      <c r="A14" t="s">
        <v>118</v>
      </c>
      <c r="B14" t="s">
        <v>63</v>
      </c>
      <c r="C14" t="s">
        <v>19</v>
      </c>
      <c r="D14" t="s">
        <v>197</v>
      </c>
      <c r="E14" t="s">
        <v>198</v>
      </c>
      <c r="J14">
        <f>J12-J13</f>
        <v>7</v>
      </c>
      <c r="N14" t="s">
        <v>53</v>
      </c>
      <c r="O14">
        <v>35</v>
      </c>
    </row>
    <row r="15" spans="1:16" x14ac:dyDescent="0.25">
      <c r="A15" t="s">
        <v>186</v>
      </c>
      <c r="B15" t="s">
        <v>197</v>
      </c>
      <c r="C15" t="s">
        <v>24</v>
      </c>
      <c r="D15" t="s">
        <v>138</v>
      </c>
      <c r="E15" t="s">
        <v>199</v>
      </c>
      <c r="N15" t="s">
        <v>49</v>
      </c>
      <c r="O15">
        <v>1</v>
      </c>
    </row>
    <row r="16" spans="1:16" x14ac:dyDescent="0.25">
      <c r="A16" t="s">
        <v>200</v>
      </c>
      <c r="B16" t="s">
        <v>172</v>
      </c>
      <c r="C16" t="s">
        <v>29</v>
      </c>
      <c r="D16" t="s">
        <v>201</v>
      </c>
      <c r="E16" t="s">
        <v>202</v>
      </c>
      <c r="N16" t="s">
        <v>51</v>
      </c>
      <c r="O16">
        <v>10</v>
      </c>
    </row>
    <row r="17" spans="1:15" x14ac:dyDescent="0.25">
      <c r="A17" t="s">
        <v>110</v>
      </c>
      <c r="B17" t="s">
        <v>176</v>
      </c>
      <c r="C17" t="s">
        <v>34</v>
      </c>
      <c r="D17" t="s">
        <v>203</v>
      </c>
      <c r="E17" t="s">
        <v>204</v>
      </c>
      <c r="N17" s="5" t="s">
        <v>50</v>
      </c>
      <c r="O17" s="5">
        <f>(((O12*100)-O14)/O16)+O15</f>
        <v>2.7299999999999991</v>
      </c>
    </row>
    <row r="18" spans="1:15" x14ac:dyDescent="0.25">
      <c r="A18" s="2">
        <v>0.3</v>
      </c>
      <c r="B18" s="2">
        <v>0.25</v>
      </c>
      <c r="C18" t="s">
        <v>37</v>
      </c>
      <c r="D18" s="2">
        <v>0.1</v>
      </c>
      <c r="E18" s="2">
        <v>0</v>
      </c>
    </row>
    <row r="19" spans="1:15" x14ac:dyDescent="0.25">
      <c r="A19" s="2">
        <v>0.1</v>
      </c>
      <c r="B19" s="2">
        <v>0.1</v>
      </c>
      <c r="C19" t="s">
        <v>38</v>
      </c>
      <c r="D19" s="2">
        <v>0</v>
      </c>
      <c r="E19" s="2">
        <v>0</v>
      </c>
    </row>
    <row r="20" spans="1:15" x14ac:dyDescent="0.25">
      <c r="A20" s="2">
        <v>0.3</v>
      </c>
      <c r="B20" s="2">
        <v>0.35</v>
      </c>
      <c r="C20" t="s">
        <v>39</v>
      </c>
      <c r="D20" s="2">
        <v>0.45</v>
      </c>
      <c r="E20" s="2">
        <v>0.36</v>
      </c>
    </row>
    <row r="21" spans="1:15" x14ac:dyDescent="0.25">
      <c r="A21" s="2">
        <v>0.6</v>
      </c>
      <c r="B21" s="2">
        <v>0.4</v>
      </c>
      <c r="C21" t="s">
        <v>40</v>
      </c>
      <c r="D21" s="2">
        <v>0.35</v>
      </c>
      <c r="E21" s="2">
        <v>0.45</v>
      </c>
    </row>
    <row r="22" spans="1:15" x14ac:dyDescent="0.25">
      <c r="A22" s="2">
        <v>0.3</v>
      </c>
      <c r="B22" s="2">
        <v>0.4</v>
      </c>
      <c r="C22" t="s">
        <v>41</v>
      </c>
      <c r="D22" s="2">
        <v>0.25</v>
      </c>
      <c r="E22" s="2">
        <v>0.27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2"/>
  <sheetViews>
    <sheetView workbookViewId="0">
      <selection activeCell="O16" sqref="O16"/>
    </sheetView>
  </sheetViews>
  <sheetFormatPr baseColWidth="10" defaultRowHeight="15" x14ac:dyDescent="0.25"/>
  <cols>
    <col min="1" max="1" width="9.85546875" customWidth="1"/>
    <col min="2" max="2" width="10.7109375" customWidth="1"/>
    <col min="3" max="3" width="19.5703125" bestFit="1" customWidth="1"/>
    <col min="4" max="4" width="7.7109375" customWidth="1"/>
    <col min="5" max="5" width="11" customWidth="1"/>
    <col min="6" max="6" width="5.42578125" customWidth="1"/>
    <col min="7" max="7" width="6.28515625" customWidth="1"/>
    <col min="8" max="8" width="4.5703125" customWidth="1"/>
  </cols>
  <sheetData>
    <row r="1" spans="1:16" x14ac:dyDescent="0.25">
      <c r="A1" t="s">
        <v>205</v>
      </c>
      <c r="B1" s="1">
        <v>42204</v>
      </c>
      <c r="C1" t="s">
        <v>207</v>
      </c>
    </row>
    <row r="2" spans="1:16" x14ac:dyDescent="0.25">
      <c r="A2" t="s">
        <v>206</v>
      </c>
      <c r="C2" t="s">
        <v>208</v>
      </c>
    </row>
    <row r="4" spans="1:16" x14ac:dyDescent="0.25">
      <c r="A4" t="s">
        <v>4</v>
      </c>
      <c r="D4" t="s">
        <v>5</v>
      </c>
      <c r="E4" t="s">
        <v>6</v>
      </c>
      <c r="F4" t="s">
        <v>5</v>
      </c>
      <c r="G4" t="s">
        <v>7</v>
      </c>
    </row>
    <row r="6" spans="1:16" x14ac:dyDescent="0.25">
      <c r="A6" s="2">
        <v>0.6</v>
      </c>
      <c r="C6">
        <v>6</v>
      </c>
      <c r="D6">
        <v>7</v>
      </c>
      <c r="E6" t="s">
        <v>8</v>
      </c>
      <c r="F6">
        <v>5</v>
      </c>
      <c r="G6">
        <v>0</v>
      </c>
      <c r="H6" s="2">
        <v>0</v>
      </c>
      <c r="J6" s="2">
        <f>A6+H8</f>
        <v>1.22</v>
      </c>
      <c r="K6">
        <f>J6/2</f>
        <v>0.61</v>
      </c>
      <c r="M6">
        <v>0.66700000000000004</v>
      </c>
      <c r="N6">
        <f>M6+K6</f>
        <v>1.2770000000000001</v>
      </c>
      <c r="O6" s="4">
        <f>N6/2</f>
        <v>0.63850000000000007</v>
      </c>
      <c r="P6" s="4" t="s">
        <v>42</v>
      </c>
    </row>
    <row r="7" spans="1:16" x14ac:dyDescent="0.25">
      <c r="A7" s="2">
        <v>0.2</v>
      </c>
      <c r="C7">
        <v>2</v>
      </c>
      <c r="D7">
        <v>6</v>
      </c>
      <c r="E7" t="s">
        <v>9</v>
      </c>
      <c r="F7">
        <v>3</v>
      </c>
      <c r="G7">
        <v>3</v>
      </c>
      <c r="H7" s="2">
        <v>0.38</v>
      </c>
      <c r="J7" s="2">
        <f>A7+H7</f>
        <v>0.58000000000000007</v>
      </c>
      <c r="K7">
        <f t="shared" ref="K7:K8" si="0">J7/2</f>
        <v>0.29000000000000004</v>
      </c>
      <c r="M7">
        <v>0.26700000000000002</v>
      </c>
      <c r="N7">
        <f t="shared" ref="N7:N8" si="1">M7+K7</f>
        <v>0.55700000000000005</v>
      </c>
      <c r="O7" s="4">
        <f t="shared" ref="O7:O8" si="2">N7/2</f>
        <v>0.27850000000000003</v>
      </c>
      <c r="P7" s="4" t="s">
        <v>48</v>
      </c>
    </row>
    <row r="8" spans="1:16" x14ac:dyDescent="0.25">
      <c r="A8" s="2">
        <v>0.2</v>
      </c>
      <c r="C8">
        <v>2</v>
      </c>
      <c r="D8">
        <v>7</v>
      </c>
      <c r="E8" t="s">
        <v>10</v>
      </c>
      <c r="F8">
        <v>10</v>
      </c>
      <c r="G8">
        <v>5</v>
      </c>
      <c r="H8" s="2">
        <v>0.62</v>
      </c>
      <c r="J8" s="2">
        <f>A8+H6</f>
        <v>0.2</v>
      </c>
      <c r="K8">
        <f t="shared" si="0"/>
        <v>0.1</v>
      </c>
      <c r="M8">
        <v>6.7000000000000004E-2</v>
      </c>
      <c r="N8">
        <f t="shared" si="1"/>
        <v>0.16700000000000001</v>
      </c>
      <c r="O8" s="4">
        <f t="shared" si="2"/>
        <v>8.3500000000000005E-2</v>
      </c>
      <c r="P8" s="4" t="s">
        <v>43</v>
      </c>
    </row>
    <row r="9" spans="1:16" x14ac:dyDescent="0.25">
      <c r="A9">
        <v>10</v>
      </c>
      <c r="D9">
        <v>20</v>
      </c>
      <c r="E9" t="s">
        <v>5</v>
      </c>
      <c r="F9">
        <v>18</v>
      </c>
      <c r="G9">
        <v>8</v>
      </c>
    </row>
    <row r="10" spans="1:16" x14ac:dyDescent="0.25">
      <c r="O10" t="s">
        <v>52</v>
      </c>
    </row>
    <row r="11" spans="1:16" x14ac:dyDescent="0.25">
      <c r="A11" t="s">
        <v>11</v>
      </c>
      <c r="B11" t="s">
        <v>12</v>
      </c>
      <c r="C11" t="s">
        <v>13</v>
      </c>
      <c r="D11" t="s">
        <v>12</v>
      </c>
      <c r="E11" t="s">
        <v>14</v>
      </c>
    </row>
    <row r="12" spans="1:16" x14ac:dyDescent="0.25">
      <c r="A12">
        <v>21</v>
      </c>
      <c r="B12">
        <v>28</v>
      </c>
      <c r="C12" t="s">
        <v>15</v>
      </c>
      <c r="D12">
        <v>19</v>
      </c>
      <c r="E12">
        <v>7</v>
      </c>
      <c r="I12" t="s">
        <v>42</v>
      </c>
      <c r="J12">
        <f>A12-A13</f>
        <v>9</v>
      </c>
      <c r="N12" s="5"/>
      <c r="O12" s="5">
        <f>MAX(O6:O8)</f>
        <v>0.63850000000000007</v>
      </c>
      <c r="P12" s="5" t="str">
        <f>VLOOKUP(O12,O6:P8,2,FALSE)</f>
        <v>L</v>
      </c>
    </row>
    <row r="13" spans="1:16" x14ac:dyDescent="0.25">
      <c r="A13">
        <v>12</v>
      </c>
      <c r="B13">
        <v>29</v>
      </c>
      <c r="C13" t="s">
        <v>16</v>
      </c>
      <c r="D13">
        <v>25</v>
      </c>
      <c r="E13">
        <v>15</v>
      </c>
      <c r="I13" t="s">
        <v>43</v>
      </c>
      <c r="J13">
        <f>E12-E13</f>
        <v>-8</v>
      </c>
    </row>
    <row r="14" spans="1:16" x14ac:dyDescent="0.25">
      <c r="A14" t="s">
        <v>209</v>
      </c>
      <c r="B14" t="s">
        <v>210</v>
      </c>
      <c r="C14" t="s">
        <v>19</v>
      </c>
      <c r="D14" t="s">
        <v>60</v>
      </c>
      <c r="E14" t="s">
        <v>211</v>
      </c>
      <c r="J14">
        <f>J12-J13</f>
        <v>17</v>
      </c>
      <c r="N14" t="s">
        <v>53</v>
      </c>
      <c r="O14">
        <v>35</v>
      </c>
    </row>
    <row r="15" spans="1:16" x14ac:dyDescent="0.25">
      <c r="A15" t="s">
        <v>212</v>
      </c>
      <c r="B15" t="s">
        <v>213</v>
      </c>
      <c r="C15" t="s">
        <v>24</v>
      </c>
      <c r="D15" t="s">
        <v>214</v>
      </c>
      <c r="E15" t="s">
        <v>215</v>
      </c>
      <c r="N15" t="s">
        <v>49</v>
      </c>
      <c r="O15">
        <v>1</v>
      </c>
    </row>
    <row r="16" spans="1:16" x14ac:dyDescent="0.25">
      <c r="A16" t="s">
        <v>216</v>
      </c>
      <c r="B16" t="s">
        <v>217</v>
      </c>
      <c r="C16" t="s">
        <v>29</v>
      </c>
      <c r="D16" t="s">
        <v>218</v>
      </c>
      <c r="E16" t="s">
        <v>142</v>
      </c>
      <c r="N16" t="s">
        <v>51</v>
      </c>
      <c r="O16">
        <v>10</v>
      </c>
    </row>
    <row r="17" spans="1:15" x14ac:dyDescent="0.25">
      <c r="A17" t="s">
        <v>219</v>
      </c>
      <c r="B17" t="s">
        <v>220</v>
      </c>
      <c r="C17" t="s">
        <v>34</v>
      </c>
      <c r="D17" t="s">
        <v>221</v>
      </c>
      <c r="E17" t="s">
        <v>222</v>
      </c>
      <c r="N17" s="5" t="s">
        <v>50</v>
      </c>
      <c r="O17" s="5">
        <f>(((O12*100)-O14)/O16)+O15</f>
        <v>3.8850000000000007</v>
      </c>
    </row>
    <row r="18" spans="1:15" x14ac:dyDescent="0.25">
      <c r="A18" s="2">
        <v>0.3</v>
      </c>
      <c r="B18" s="2">
        <v>0.3</v>
      </c>
      <c r="C18" t="s">
        <v>37</v>
      </c>
      <c r="D18" s="2">
        <v>0.28000000000000003</v>
      </c>
      <c r="E18" s="2">
        <v>0.38</v>
      </c>
    </row>
    <row r="19" spans="1:15" x14ac:dyDescent="0.25">
      <c r="A19" s="2">
        <v>0.2</v>
      </c>
      <c r="B19" s="2">
        <v>0.1</v>
      </c>
      <c r="C19" t="s">
        <v>38</v>
      </c>
      <c r="D19" s="2">
        <v>0.11</v>
      </c>
      <c r="E19" s="2">
        <v>0</v>
      </c>
    </row>
    <row r="20" spans="1:15" x14ac:dyDescent="0.25">
      <c r="A20" s="2">
        <v>0.8</v>
      </c>
      <c r="B20" s="2">
        <v>0.55000000000000004</v>
      </c>
      <c r="C20" t="s">
        <v>39</v>
      </c>
      <c r="D20" s="2">
        <v>0.44</v>
      </c>
      <c r="E20" s="2">
        <v>0.62</v>
      </c>
    </row>
    <row r="21" spans="1:15" x14ac:dyDescent="0.25">
      <c r="A21" s="2">
        <v>0.2</v>
      </c>
      <c r="B21" s="2">
        <v>0.2</v>
      </c>
      <c r="C21" t="s">
        <v>40</v>
      </c>
      <c r="D21" s="2">
        <v>0.22</v>
      </c>
      <c r="E21" s="2">
        <v>0</v>
      </c>
    </row>
    <row r="22" spans="1:15" x14ac:dyDescent="0.25">
      <c r="A22" s="2">
        <v>0</v>
      </c>
      <c r="B22" s="2">
        <v>0.3</v>
      </c>
      <c r="C22" t="s">
        <v>41</v>
      </c>
      <c r="D22" s="2">
        <v>0.33</v>
      </c>
      <c r="E22" s="2">
        <v>0.38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Norway</vt:lpstr>
      <vt:lpstr>Resumen</vt:lpstr>
      <vt:lpstr>LAGalaxy</vt:lpstr>
      <vt:lpstr>Toronto</vt:lpstr>
      <vt:lpstr>OrlandoCity</vt:lpstr>
      <vt:lpstr>NewEngland</vt:lpstr>
      <vt:lpstr>SportingKC</vt:lpstr>
      <vt:lpstr>FCDAllas</vt:lpstr>
      <vt:lpstr>RealSaltLake</vt:lpstr>
      <vt:lpstr>Seattle</vt:lpstr>
      <vt:lpstr>Portland</vt:lpstr>
      <vt:lpstr>Columbus</vt:lpstr>
      <vt:lpstr>Norway!pmatch.asp?league_norway_matchid_144_t1_5_t2_14_ly_2015</vt:lpstr>
      <vt:lpstr>LAGalaxy!pmatch.asp?league_usa_matchid_195_t1_1_t2_10_ly_2015</vt:lpstr>
      <vt:lpstr>Seattle!pmatch.asp?league_usa_matchid_196_t1_19_t2_6_ly_2015</vt:lpstr>
      <vt:lpstr>Toronto!pmatch.asp?league_usa_matchid_197_t1_8_t2_5_ly_2015</vt:lpstr>
      <vt:lpstr>NewEngland!pmatch.asp?league_usa_matchid_198_t1_20_t2_16_ly_2015</vt:lpstr>
      <vt:lpstr>SportingKC!pmatch.asp?league_usa_matchid_199_t1_17_t2_4_ly_2015</vt:lpstr>
      <vt:lpstr>FCDAllas!pmatch.asp?league_usa_matchid_200_t1_9_t2_3_ly_2015</vt:lpstr>
      <vt:lpstr>RealSaltLake!pmatch.asp?league_usa_matchid_201_t1_14_t2_11_ly_2015</vt:lpstr>
      <vt:lpstr>Portland!pmatch.asp?league_usa_matchid_202_t1_13_t2_7_ly_2015</vt:lpstr>
      <vt:lpstr>Columbus!pmatch.asp?league_usa_matchid_203_t1_12_t2_2_ly_2015</vt:lpstr>
      <vt:lpstr>OrlandoCity!pmatch.asp?league_usa_matchid_204_t1_15_t2_18_ly_2015</vt:lpstr>
    </vt:vector>
  </TitlesOfParts>
  <Company>accusys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Ortiz, Isaac</dc:creator>
  <cp:lastModifiedBy>Ortiz, Isaac</cp:lastModifiedBy>
  <dcterms:created xsi:type="dcterms:W3CDTF">2015-07-16T17:49:59Z</dcterms:created>
  <dcterms:modified xsi:type="dcterms:W3CDTF">2015-07-17T19:11:59Z</dcterms:modified>
</cp:coreProperties>
</file>